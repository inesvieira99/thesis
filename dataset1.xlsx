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esvieira/Desktop/projeto/"/>
    </mc:Choice>
  </mc:AlternateContent>
  <xr:revisionPtr revIDLastSave="0" documentId="13_ncr:1_{8816E6F7-FDEC-C648-B95D-C7BC122FB214}" xr6:coauthVersionLast="47" xr6:coauthVersionMax="47" xr10:uidLastSave="{00000000-0000-0000-0000-000000000000}"/>
  <bookViews>
    <workbookView xWindow="3580" yWindow="500" windowWidth="28800" windowHeight="16460" xr2:uid="{477551D1-3FA9-E748-867C-BCC2D0330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1" i="1" l="1"/>
  <c r="V98" i="1"/>
  <c r="V101" i="1"/>
  <c r="V100" i="1"/>
  <c r="V99" i="1"/>
  <c r="V96" i="1"/>
  <c r="V95" i="1"/>
  <c r="V94" i="1"/>
  <c r="V93" i="1"/>
  <c r="V91" i="1"/>
  <c r="V90" i="1"/>
  <c r="V89" i="1"/>
  <c r="V88" i="1"/>
  <c r="V86" i="1"/>
  <c r="V85" i="1"/>
  <c r="V84" i="1"/>
  <c r="V83" i="1"/>
  <c r="V81" i="1"/>
  <c r="V80" i="1"/>
  <c r="V79" i="1"/>
  <c r="V78" i="1"/>
  <c r="V76" i="1"/>
  <c r="V75" i="1"/>
  <c r="V74" i="1"/>
  <c r="V73" i="1"/>
  <c r="V71" i="1"/>
  <c r="V70" i="1"/>
  <c r="V69" i="1"/>
  <c r="V68" i="1"/>
  <c r="V66" i="1"/>
  <c r="V65" i="1"/>
  <c r="V64" i="1"/>
  <c r="V63" i="1"/>
  <c r="V61" i="1"/>
  <c r="V60" i="1"/>
  <c r="V59" i="1"/>
  <c r="V58" i="1"/>
  <c r="V56" i="1"/>
  <c r="V55" i="1"/>
  <c r="V54" i="1"/>
  <c r="V53" i="1"/>
  <c r="V51" i="1"/>
  <c r="V50" i="1"/>
  <c r="V49" i="1"/>
  <c r="V48" i="1"/>
  <c r="V46" i="1"/>
  <c r="V45" i="1"/>
  <c r="V44" i="1"/>
  <c r="V43" i="1"/>
  <c r="V41" i="1"/>
  <c r="V40" i="1"/>
  <c r="V39" i="1"/>
  <c r="V38" i="1"/>
  <c r="V36" i="1"/>
  <c r="V35" i="1"/>
  <c r="V34" i="1"/>
  <c r="V33" i="1"/>
  <c r="V31" i="1"/>
  <c r="V30" i="1"/>
  <c r="V29" i="1"/>
  <c r="V28" i="1"/>
  <c r="V26" i="1"/>
  <c r="V25" i="1"/>
  <c r="V24" i="1"/>
  <c r="V23" i="1"/>
  <c r="V21" i="1"/>
  <c r="V20" i="1"/>
  <c r="V19" i="1"/>
  <c r="V18" i="1"/>
  <c r="V16" i="1"/>
  <c r="V15" i="1"/>
  <c r="V14" i="1"/>
  <c r="V13" i="1"/>
  <c r="V11" i="1"/>
  <c r="V10" i="1"/>
  <c r="V9" i="1"/>
  <c r="V8" i="1"/>
  <c r="V6" i="1"/>
  <c r="V5" i="1"/>
  <c r="V4" i="1"/>
  <c r="V3" i="1"/>
  <c r="T101" i="1"/>
  <c r="T100" i="1"/>
  <c r="T99" i="1"/>
  <c r="T98" i="1"/>
  <c r="T96" i="1"/>
  <c r="T95" i="1"/>
  <c r="T94" i="1"/>
  <c r="T93" i="1"/>
  <c r="T91" i="1"/>
  <c r="T90" i="1"/>
  <c r="T89" i="1"/>
  <c r="T88" i="1"/>
  <c r="T86" i="1"/>
  <c r="T85" i="1"/>
  <c r="T84" i="1"/>
  <c r="T83" i="1"/>
  <c r="T80" i="1"/>
  <c r="T79" i="1"/>
  <c r="T76" i="1"/>
  <c r="T75" i="1"/>
  <c r="T74" i="1"/>
  <c r="T73" i="1"/>
  <c r="T78" i="1"/>
  <c r="T71" i="1"/>
  <c r="T70" i="1"/>
  <c r="T69" i="1"/>
  <c r="T68" i="1"/>
  <c r="T66" i="1"/>
  <c r="T65" i="1"/>
  <c r="T64" i="1"/>
  <c r="T61" i="1"/>
  <c r="T60" i="1"/>
  <c r="T59" i="1"/>
  <c r="T58" i="1"/>
  <c r="T63" i="1"/>
  <c r="T56" i="1"/>
  <c r="T55" i="1"/>
  <c r="T54" i="1"/>
  <c r="T53" i="1"/>
  <c r="T51" i="1"/>
  <c r="T50" i="1"/>
  <c r="T49" i="1"/>
  <c r="T48" i="1"/>
  <c r="T46" i="1"/>
  <c r="T45" i="1"/>
  <c r="T44" i="1"/>
  <c r="T43" i="1"/>
  <c r="T41" i="1"/>
  <c r="T40" i="1"/>
  <c r="T39" i="1"/>
  <c r="T38" i="1"/>
  <c r="T36" i="1"/>
  <c r="T35" i="1"/>
  <c r="T34" i="1"/>
  <c r="T33" i="1"/>
  <c r="T31" i="1"/>
  <c r="T30" i="1"/>
  <c r="T29" i="1"/>
  <c r="T28" i="1"/>
  <c r="T26" i="1"/>
  <c r="T25" i="1"/>
  <c r="T24" i="1"/>
  <c r="T23" i="1"/>
  <c r="T21" i="1"/>
  <c r="T20" i="1"/>
  <c r="T19" i="1"/>
  <c r="T18" i="1"/>
  <c r="T16" i="1"/>
  <c r="T15" i="1"/>
  <c r="T14" i="1"/>
  <c r="T13" i="1"/>
  <c r="T11" i="1"/>
  <c r="T10" i="1"/>
  <c r="T9" i="1"/>
  <c r="T8" i="1"/>
  <c r="T6" i="1"/>
  <c r="T5" i="1"/>
  <c r="T4" i="1"/>
  <c r="T3" i="1"/>
  <c r="R101" i="1"/>
  <c r="R100" i="1"/>
  <c r="R99" i="1"/>
  <c r="R96" i="1"/>
  <c r="R95" i="1"/>
  <c r="R94" i="1"/>
  <c r="R93" i="1"/>
  <c r="R91" i="1"/>
  <c r="R90" i="1"/>
  <c r="R89" i="1"/>
  <c r="R88" i="1"/>
  <c r="R86" i="1"/>
  <c r="R85" i="1"/>
  <c r="R84" i="1"/>
  <c r="R83" i="1"/>
  <c r="R81" i="1"/>
  <c r="R80" i="1"/>
  <c r="R79" i="1"/>
  <c r="R78" i="1"/>
  <c r="R76" i="1"/>
  <c r="R75" i="1"/>
  <c r="R74" i="1"/>
  <c r="R73" i="1"/>
  <c r="R71" i="1"/>
  <c r="R70" i="1"/>
  <c r="R69" i="1"/>
  <c r="R68" i="1"/>
  <c r="R66" i="1"/>
  <c r="R65" i="1"/>
  <c r="R64" i="1"/>
  <c r="R63" i="1"/>
  <c r="R61" i="1"/>
  <c r="R60" i="1"/>
  <c r="R59" i="1"/>
  <c r="R58" i="1"/>
  <c r="R56" i="1"/>
  <c r="R55" i="1"/>
  <c r="R54" i="1"/>
  <c r="R51" i="1"/>
  <c r="R50" i="1"/>
  <c r="R49" i="1"/>
  <c r="R48" i="1"/>
  <c r="R46" i="1"/>
  <c r="R45" i="1"/>
  <c r="R44" i="1"/>
  <c r="R43" i="1"/>
  <c r="R41" i="1"/>
  <c r="R40" i="1"/>
  <c r="R39" i="1"/>
  <c r="R38" i="1"/>
  <c r="R36" i="1"/>
  <c r="R35" i="1"/>
  <c r="R34" i="1"/>
  <c r="R33" i="1"/>
  <c r="R31" i="1"/>
  <c r="R30" i="1"/>
  <c r="R29" i="1"/>
  <c r="R28" i="1"/>
  <c r="R53" i="1"/>
  <c r="R98" i="1"/>
  <c r="R26" i="1"/>
  <c r="R25" i="1"/>
  <c r="R24" i="1"/>
  <c r="R21" i="1"/>
  <c r="R20" i="1"/>
  <c r="R19" i="1"/>
  <c r="R18" i="1"/>
  <c r="R16" i="1"/>
  <c r="R15" i="1"/>
  <c r="R14" i="1"/>
  <c r="R13" i="1"/>
  <c r="R11" i="1"/>
  <c r="R10" i="1"/>
  <c r="R9" i="1"/>
  <c r="R6" i="1"/>
  <c r="R5" i="1"/>
  <c r="R4" i="1"/>
  <c r="R3" i="1"/>
  <c r="R8" i="1"/>
  <c r="R23" i="1"/>
  <c r="L101" i="1"/>
  <c r="L100" i="1"/>
  <c r="L99" i="1"/>
  <c r="L98" i="1"/>
  <c r="L96" i="1"/>
  <c r="L95" i="1"/>
  <c r="L94" i="1"/>
  <c r="L93" i="1"/>
  <c r="L91" i="1"/>
  <c r="L90" i="1"/>
  <c r="L89" i="1"/>
  <c r="L88" i="1"/>
  <c r="L86" i="1"/>
  <c r="L85" i="1"/>
  <c r="L84" i="1"/>
  <c r="L83" i="1"/>
  <c r="L81" i="1"/>
  <c r="L80" i="1"/>
  <c r="L79" i="1"/>
  <c r="L78" i="1"/>
  <c r="L76" i="1"/>
  <c r="L75" i="1"/>
  <c r="L74" i="1"/>
  <c r="L73" i="1"/>
  <c r="L71" i="1"/>
  <c r="L70" i="1"/>
  <c r="L69" i="1"/>
  <c r="L68" i="1"/>
  <c r="L66" i="1"/>
  <c r="L65" i="1"/>
  <c r="L64" i="1"/>
  <c r="L63" i="1"/>
  <c r="L61" i="1"/>
  <c r="L60" i="1"/>
  <c r="L59" i="1"/>
  <c r="L58" i="1"/>
  <c r="L56" i="1"/>
  <c r="L55" i="1"/>
  <c r="L54" i="1"/>
  <c r="L53" i="1"/>
  <c r="L51" i="1"/>
  <c r="L50" i="1"/>
  <c r="L49" i="1"/>
  <c r="L48" i="1"/>
  <c r="L46" i="1"/>
  <c r="L45" i="1"/>
  <c r="L44" i="1"/>
  <c r="L43" i="1"/>
  <c r="L41" i="1"/>
  <c r="L40" i="1"/>
  <c r="L39" i="1"/>
  <c r="L38" i="1"/>
  <c r="L36" i="1"/>
  <c r="L35" i="1"/>
  <c r="L34" i="1"/>
  <c r="L33" i="1"/>
  <c r="L31" i="1"/>
  <c r="L30" i="1"/>
  <c r="L29" i="1"/>
  <c r="L28" i="1"/>
  <c r="L26" i="1"/>
  <c r="L25" i="1"/>
  <c r="L24" i="1"/>
  <c r="L23" i="1"/>
  <c r="L21" i="1"/>
  <c r="L20" i="1"/>
  <c r="L19" i="1"/>
  <c r="L18" i="1"/>
  <c r="L16" i="1"/>
  <c r="L15" i="1"/>
  <c r="L14" i="1"/>
  <c r="L13" i="1"/>
  <c r="L11" i="1"/>
  <c r="L10" i="1"/>
  <c r="L9" i="1"/>
  <c r="L8" i="1"/>
  <c r="L6" i="1"/>
  <c r="L5" i="1"/>
  <c r="L4" i="1"/>
  <c r="L3" i="1"/>
  <c r="P101" i="1"/>
  <c r="P100" i="1"/>
  <c r="P99" i="1"/>
  <c r="P98" i="1"/>
  <c r="P96" i="1"/>
  <c r="P95" i="1"/>
  <c r="P94" i="1"/>
  <c r="P93" i="1"/>
  <c r="P91" i="1"/>
  <c r="P90" i="1"/>
  <c r="P89" i="1"/>
  <c r="P88" i="1"/>
  <c r="P86" i="1"/>
  <c r="P85" i="1"/>
  <c r="P84" i="1"/>
  <c r="P83" i="1"/>
  <c r="P81" i="1"/>
  <c r="P80" i="1"/>
  <c r="P79" i="1"/>
  <c r="P78" i="1"/>
  <c r="P76" i="1"/>
  <c r="P75" i="1"/>
  <c r="P74" i="1"/>
  <c r="P73" i="1"/>
  <c r="P71" i="1"/>
  <c r="P70" i="1"/>
  <c r="P69" i="1"/>
  <c r="P68" i="1"/>
  <c r="P66" i="1"/>
  <c r="P65" i="1"/>
  <c r="P64" i="1"/>
  <c r="P63" i="1"/>
  <c r="P61" i="1"/>
  <c r="P60" i="1"/>
  <c r="P59" i="1"/>
  <c r="P58" i="1"/>
  <c r="P56" i="1"/>
  <c r="P55" i="1"/>
  <c r="P54" i="1"/>
  <c r="P53" i="1"/>
  <c r="P51" i="1"/>
  <c r="P50" i="1"/>
  <c r="P49" i="1"/>
  <c r="P48" i="1"/>
  <c r="P46" i="1"/>
  <c r="P45" i="1"/>
  <c r="P44" i="1"/>
  <c r="P43" i="1"/>
  <c r="P41" i="1"/>
  <c r="P40" i="1"/>
  <c r="P39" i="1"/>
  <c r="P38" i="1"/>
  <c r="P36" i="1"/>
  <c r="P35" i="1"/>
  <c r="P34" i="1"/>
  <c r="P33" i="1"/>
  <c r="P31" i="1"/>
  <c r="P30" i="1"/>
  <c r="P29" i="1"/>
  <c r="P28" i="1"/>
  <c r="P26" i="1"/>
  <c r="P25" i="1"/>
  <c r="P24" i="1"/>
  <c r="P23" i="1"/>
  <c r="P21" i="1"/>
  <c r="P20" i="1"/>
  <c r="P19" i="1"/>
  <c r="P16" i="1"/>
  <c r="P15" i="1"/>
  <c r="P14" i="1"/>
  <c r="P13" i="1"/>
  <c r="P11" i="1"/>
  <c r="P10" i="1"/>
  <c r="P9" i="1"/>
  <c r="P8" i="1"/>
  <c r="P6" i="1"/>
  <c r="P5" i="1"/>
  <c r="P4" i="1"/>
  <c r="P3" i="1"/>
  <c r="P18" i="1"/>
  <c r="N101" i="1"/>
  <c r="N100" i="1"/>
  <c r="N99" i="1"/>
  <c r="N98" i="1"/>
  <c r="N96" i="1"/>
  <c r="N95" i="1"/>
  <c r="N94" i="1"/>
  <c r="N93" i="1"/>
  <c r="N91" i="1"/>
  <c r="N90" i="1"/>
  <c r="N89" i="1"/>
  <c r="N88" i="1"/>
  <c r="N86" i="1"/>
  <c r="N85" i="1"/>
  <c r="N84" i="1"/>
  <c r="N83" i="1"/>
  <c r="N81" i="1"/>
  <c r="N80" i="1"/>
  <c r="N79" i="1"/>
  <c r="N78" i="1"/>
  <c r="N76" i="1"/>
  <c r="N75" i="1"/>
  <c r="N74" i="1"/>
  <c r="N73" i="1"/>
  <c r="N71" i="1"/>
  <c r="N70" i="1"/>
  <c r="N69" i="1"/>
  <c r="N68" i="1"/>
  <c r="N66" i="1"/>
  <c r="N65" i="1"/>
  <c r="N64" i="1"/>
  <c r="N63" i="1"/>
  <c r="N61" i="1"/>
  <c r="N60" i="1"/>
  <c r="N59" i="1"/>
  <c r="N58" i="1"/>
  <c r="N56" i="1"/>
  <c r="N55" i="1"/>
  <c r="N54" i="1"/>
  <c r="N53" i="1"/>
  <c r="N51" i="1"/>
  <c r="N50" i="1"/>
  <c r="N49" i="1"/>
  <c r="N48" i="1"/>
  <c r="N46" i="1"/>
  <c r="N45" i="1"/>
  <c r="N44" i="1"/>
  <c r="N43" i="1"/>
  <c r="N41" i="1"/>
  <c r="N40" i="1"/>
  <c r="N39" i="1"/>
  <c r="N38" i="1"/>
  <c r="N36" i="1"/>
  <c r="N35" i="1"/>
  <c r="N34" i="1"/>
  <c r="N33" i="1"/>
  <c r="N31" i="1"/>
  <c r="N30" i="1"/>
  <c r="N29" i="1"/>
  <c r="N28" i="1"/>
  <c r="N26" i="1"/>
  <c r="N25" i="1"/>
  <c r="N24" i="1"/>
  <c r="N23" i="1"/>
  <c r="N21" i="1"/>
  <c r="N20" i="1"/>
  <c r="N19" i="1"/>
  <c r="N18" i="1"/>
  <c r="N16" i="1"/>
  <c r="N15" i="1"/>
  <c r="N14" i="1"/>
  <c r="N13" i="1"/>
  <c r="N11" i="1"/>
  <c r="N10" i="1"/>
  <c r="N9" i="1"/>
  <c r="N8" i="1"/>
  <c r="N6" i="1"/>
  <c r="N5" i="1"/>
  <c r="N4" i="1"/>
  <c r="N3" i="1"/>
  <c r="J101" i="1"/>
  <c r="J100" i="1"/>
  <c r="J99" i="1"/>
  <c r="J98" i="1"/>
  <c r="J96" i="1"/>
  <c r="J95" i="1"/>
  <c r="J94" i="1"/>
  <c r="J93" i="1"/>
  <c r="J90" i="1"/>
  <c r="J89" i="1"/>
  <c r="J88" i="1"/>
  <c r="J85" i="1"/>
  <c r="J84" i="1"/>
  <c r="J83" i="1"/>
  <c r="J81" i="1"/>
  <c r="J80" i="1"/>
  <c r="J79" i="1"/>
  <c r="J78" i="1"/>
  <c r="J86" i="1"/>
  <c r="J91" i="1"/>
  <c r="J76" i="1"/>
  <c r="J74" i="1"/>
  <c r="J73" i="1"/>
  <c r="J71" i="1"/>
  <c r="J70" i="1"/>
  <c r="J69" i="1"/>
  <c r="J68" i="1"/>
  <c r="J75" i="1"/>
  <c r="J66" i="1"/>
  <c r="J65" i="1"/>
  <c r="J64" i="1"/>
  <c r="J63" i="1"/>
  <c r="J61" i="1"/>
  <c r="J60" i="1"/>
  <c r="J59" i="1"/>
  <c r="J58" i="1"/>
  <c r="J55" i="1"/>
  <c r="J54" i="1"/>
  <c r="J53" i="1"/>
  <c r="J56" i="1"/>
  <c r="J51" i="1"/>
  <c r="J50" i="1"/>
  <c r="J49" i="1"/>
  <c r="J48" i="1"/>
  <c r="J45" i="1"/>
  <c r="J44" i="1"/>
  <c r="J43" i="1"/>
  <c r="J40" i="1"/>
  <c r="J39" i="1"/>
  <c r="J38" i="1"/>
  <c r="J35" i="1"/>
  <c r="J34" i="1"/>
  <c r="J33" i="1"/>
  <c r="J30" i="1"/>
  <c r="J29" i="1"/>
  <c r="J28" i="1"/>
  <c r="J31" i="1"/>
  <c r="J36" i="1"/>
  <c r="J41" i="1"/>
  <c r="J46" i="1"/>
  <c r="J25" i="1"/>
  <c r="J24" i="1"/>
  <c r="J23" i="1"/>
  <c r="J26" i="1"/>
  <c r="J21" i="1"/>
  <c r="J20" i="1"/>
  <c r="J19" i="1"/>
  <c r="J18" i="1"/>
  <c r="J16" i="1"/>
  <c r="J15" i="1"/>
  <c r="J14" i="1"/>
  <c r="J13" i="1"/>
  <c r="J11" i="1"/>
  <c r="J10" i="1"/>
  <c r="J9" i="1"/>
  <c r="J8" i="1"/>
  <c r="J6" i="1"/>
  <c r="J5" i="1"/>
  <c r="J4" i="1"/>
  <c r="J3" i="1"/>
  <c r="H3" i="1"/>
  <c r="H40" i="1"/>
  <c r="H100" i="1"/>
  <c r="H99" i="1"/>
  <c r="H98" i="1"/>
  <c r="H101" i="1"/>
  <c r="H95" i="1"/>
  <c r="H94" i="1"/>
  <c r="H93" i="1"/>
  <c r="H90" i="1"/>
  <c r="H89" i="1"/>
  <c r="H88" i="1"/>
  <c r="H91" i="1"/>
  <c r="H96" i="1"/>
  <c r="H85" i="1"/>
  <c r="H84" i="1"/>
  <c r="H83" i="1"/>
  <c r="H81" i="1"/>
  <c r="H80" i="1"/>
  <c r="H79" i="1"/>
  <c r="H78" i="1"/>
  <c r="H75" i="1"/>
  <c r="H74" i="1"/>
  <c r="H73" i="1"/>
  <c r="H76" i="1"/>
  <c r="H86" i="1"/>
  <c r="H70" i="1"/>
  <c r="H69" i="1"/>
  <c r="H68" i="1"/>
  <c r="H65" i="1"/>
  <c r="H64" i="1"/>
  <c r="H63" i="1"/>
  <c r="H60" i="1"/>
  <c r="H61" i="1"/>
  <c r="H66" i="1"/>
  <c r="H71" i="1"/>
  <c r="H59" i="1"/>
  <c r="H58" i="1"/>
  <c r="H55" i="1"/>
  <c r="H54" i="1"/>
  <c r="H53" i="1"/>
  <c r="H50" i="1"/>
  <c r="H49" i="1"/>
  <c r="H48" i="1"/>
  <c r="H51" i="1"/>
  <c r="H56" i="1"/>
  <c r="H46" i="1"/>
  <c r="H45" i="1"/>
  <c r="H44" i="1"/>
  <c r="H43" i="1"/>
  <c r="H41" i="1"/>
  <c r="H39" i="1"/>
  <c r="H38" i="1"/>
  <c r="H35" i="1"/>
  <c r="H34" i="1"/>
  <c r="H33" i="1"/>
  <c r="H36" i="1"/>
  <c r="H31" i="1"/>
  <c r="H30" i="1"/>
  <c r="H29" i="1"/>
  <c r="H28" i="1"/>
  <c r="H26" i="1"/>
  <c r="H25" i="1"/>
  <c r="H24" i="1"/>
  <c r="H23" i="1"/>
  <c r="H20" i="1"/>
  <c r="H19" i="1"/>
  <c r="H18" i="1"/>
  <c r="H21" i="1"/>
  <c r="H16" i="1"/>
  <c r="H15" i="1"/>
  <c r="H13" i="1"/>
  <c r="H11" i="1"/>
  <c r="H10" i="1"/>
  <c r="H9" i="1"/>
  <c r="H8" i="1"/>
  <c r="H6" i="1"/>
  <c r="H5" i="1"/>
  <c r="H14" i="1"/>
  <c r="H4" i="1"/>
  <c r="F4" i="1"/>
  <c r="F3" i="1"/>
  <c r="F31" i="1"/>
  <c r="F100" i="1"/>
  <c r="F99" i="1"/>
  <c r="F98" i="1"/>
  <c r="F95" i="1"/>
  <c r="F94" i="1"/>
  <c r="F93" i="1"/>
  <c r="F96" i="1"/>
  <c r="F101" i="1"/>
  <c r="F91" i="1"/>
  <c r="F90" i="1"/>
  <c r="F89" i="1"/>
  <c r="F88" i="1"/>
  <c r="F85" i="1"/>
  <c r="F84" i="1"/>
  <c r="F83" i="1"/>
  <c r="F86" i="1"/>
  <c r="F80" i="1"/>
  <c r="F79" i="1"/>
  <c r="F78" i="1"/>
  <c r="F81" i="1"/>
  <c r="F75" i="1"/>
  <c r="F74" i="1"/>
  <c r="F73" i="1"/>
  <c r="F76" i="1"/>
  <c r="F70" i="1"/>
  <c r="F69" i="1"/>
  <c r="F68" i="1"/>
  <c r="F71" i="1"/>
  <c r="F65" i="1"/>
  <c r="F64" i="1"/>
  <c r="F63" i="1"/>
  <c r="F66" i="1"/>
  <c r="F61" i="1"/>
  <c r="F60" i="1"/>
  <c r="F59" i="1"/>
  <c r="F58" i="1"/>
  <c r="F56" i="1"/>
  <c r="F55" i="1"/>
  <c r="F54" i="1"/>
  <c r="F51" i="1"/>
  <c r="F50" i="1"/>
  <c r="F49" i="1"/>
  <c r="F46" i="1"/>
  <c r="F45" i="1"/>
  <c r="F44" i="1"/>
  <c r="F48" i="1"/>
  <c r="F53" i="1"/>
  <c r="F43" i="1"/>
  <c r="F41" i="1"/>
  <c r="F40" i="1"/>
  <c r="F39" i="1"/>
  <c r="F38" i="1"/>
  <c r="F36" i="1"/>
  <c r="F35" i="1"/>
  <c r="F34" i="1"/>
  <c r="F33" i="1"/>
  <c r="F28" i="1"/>
  <c r="F29" i="1"/>
  <c r="F30" i="1"/>
  <c r="F26" i="1"/>
  <c r="F25" i="1"/>
  <c r="F24" i="1"/>
  <c r="F23" i="1"/>
  <c r="F20" i="1"/>
  <c r="F19" i="1"/>
  <c r="F18" i="1"/>
  <c r="F11" i="1"/>
  <c r="F21" i="1"/>
  <c r="F16" i="1"/>
  <c r="F15" i="1"/>
  <c r="F14" i="1"/>
  <c r="F13" i="1"/>
  <c r="F10" i="1"/>
  <c r="F9" i="1"/>
  <c r="F5" i="1"/>
  <c r="F6" i="1"/>
  <c r="F8" i="1"/>
</calcChain>
</file>

<file path=xl/sharedStrings.xml><?xml version="1.0" encoding="utf-8"?>
<sst xmlns="http://schemas.openxmlformats.org/spreadsheetml/2006/main" count="221" uniqueCount="46">
  <si>
    <t>sample</t>
  </si>
  <si>
    <t>treatment</t>
  </si>
  <si>
    <t>Lup2108</t>
  </si>
  <si>
    <t>k17</t>
  </si>
  <si>
    <t>k15</t>
  </si>
  <si>
    <t>k13</t>
  </si>
  <si>
    <t>Lup2163</t>
  </si>
  <si>
    <t>Lup2164</t>
  </si>
  <si>
    <t>Lup2189</t>
  </si>
  <si>
    <t>Lup2191</t>
  </si>
  <si>
    <t>Lup2202</t>
  </si>
  <si>
    <t>Lup2221</t>
  </si>
  <si>
    <t>Lup2223</t>
  </si>
  <si>
    <t>Lup2241</t>
  </si>
  <si>
    <t>Lup2313</t>
  </si>
  <si>
    <t>Lup2323</t>
  </si>
  <si>
    <t>Lup2370</t>
  </si>
  <si>
    <t>Lup2378</t>
  </si>
  <si>
    <t>Lup2361</t>
  </si>
  <si>
    <t>Lup2136</t>
  </si>
  <si>
    <t>Lup2395</t>
  </si>
  <si>
    <t>Lup2456</t>
  </si>
  <si>
    <t>Lup2453</t>
  </si>
  <si>
    <t>Lup2383</t>
  </si>
  <si>
    <t>reref</t>
  </si>
  <si>
    <t>N_sites_good_depth</t>
  </si>
  <si>
    <t>k19</t>
  </si>
  <si>
    <t>primary_mapped</t>
  </si>
  <si>
    <t>Lup2312</t>
  </si>
  <si>
    <t>reads_above20</t>
  </si>
  <si>
    <t>reads_diff</t>
  </si>
  <si>
    <t xml:space="preserve">depth </t>
  </si>
  <si>
    <t>depth_calc</t>
  </si>
  <si>
    <t>missingness_all</t>
  </si>
  <si>
    <t>missingness_CDS</t>
  </si>
  <si>
    <t>missingness_gene</t>
  </si>
  <si>
    <t>heterozigosity_all</t>
  </si>
  <si>
    <t>heterozigosity_CDS</t>
  </si>
  <si>
    <t>sites</t>
  </si>
  <si>
    <t>missing_CDS</t>
  </si>
  <si>
    <t>missing_gene</t>
  </si>
  <si>
    <t>heterozigosity_gene</t>
  </si>
  <si>
    <t>missing_all</t>
  </si>
  <si>
    <t>heteroz_all</t>
  </si>
  <si>
    <t>heteroz_CDS</t>
  </si>
  <si>
    <t>heteroz_gene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</si>
</sst>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0" fillId="0" borderId="3" xfId="0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6BCD-EE6B-884E-8155-2CA9B301BD04}">
  <dimension ref="A1:V136"/>
  <sheetViews>
    <sheetView tabSelected="1" topLeftCell="K55" workbookViewId="0">
      <selection activeCell="T82" sqref="T82"/>
    </sheetView>
  </sheetViews>
  <sheetFormatPr baseColWidth="10" defaultRowHeight="16" x14ac:dyDescent="0.2"/>
  <cols>
    <col min="4" max="4" width="16.83203125" bestFit="1" customWidth="1"/>
    <col min="5" max="5" width="16.83203125" customWidth="1"/>
    <col min="6" max="6" width="17" bestFit="1" customWidth="1"/>
    <col min="8" max="8" width="14" bestFit="1" customWidth="1"/>
    <col min="9" max="9" width="18.1640625" bestFit="1" customWidth="1"/>
    <col min="10" max="10" width="12.83203125" bestFit="1" customWidth="1"/>
    <col min="11" max="11" width="17.1640625" bestFit="1" customWidth="1"/>
    <col min="12" max="12" width="17.1640625" customWidth="1"/>
    <col min="13" max="13" width="15.33203125" bestFit="1" customWidth="1"/>
    <col min="14" max="14" width="15.1640625" bestFit="1" customWidth="1"/>
    <col min="15" max="15" width="16.33203125" bestFit="1" customWidth="1"/>
    <col min="16" max="16" width="15.1640625" bestFit="1" customWidth="1"/>
    <col min="17" max="17" width="15.6640625" bestFit="1" customWidth="1"/>
    <col min="18" max="18" width="15.6640625" customWidth="1"/>
    <col min="19" max="19" width="17" bestFit="1" customWidth="1"/>
    <col min="20" max="20" width="15.1640625" bestFit="1" customWidth="1"/>
    <col min="21" max="21" width="17.5" customWidth="1"/>
  </cols>
  <sheetData>
    <row r="1" spans="1:22" x14ac:dyDescent="0.2">
      <c r="A1" s="1"/>
      <c r="B1" s="11" t="s">
        <v>0</v>
      </c>
      <c r="C1" s="11" t="s">
        <v>1</v>
      </c>
      <c r="D1" s="11" t="s">
        <v>27</v>
      </c>
      <c r="E1" s="4" t="s">
        <v>29</v>
      </c>
      <c r="F1" s="4" t="s">
        <v>30</v>
      </c>
      <c r="G1" s="17" t="s">
        <v>31</v>
      </c>
      <c r="H1" s="17" t="s">
        <v>32</v>
      </c>
      <c r="I1" s="4" t="s">
        <v>25</v>
      </c>
      <c r="J1" s="4" t="s">
        <v>38</v>
      </c>
      <c r="K1" s="4" t="s">
        <v>33</v>
      </c>
      <c r="L1" s="4" t="s">
        <v>42</v>
      </c>
      <c r="M1" s="4" t="s">
        <v>34</v>
      </c>
      <c r="N1" s="4" t="s">
        <v>39</v>
      </c>
      <c r="O1" s="5" t="s">
        <v>35</v>
      </c>
      <c r="P1" s="23" t="s">
        <v>40</v>
      </c>
      <c r="Q1" s="19" t="s">
        <v>36</v>
      </c>
      <c r="R1" s="24" t="s">
        <v>43</v>
      </c>
      <c r="S1" t="s">
        <v>37</v>
      </c>
      <c r="T1" t="s">
        <v>44</v>
      </c>
      <c r="U1" t="s">
        <v>41</v>
      </c>
      <c r="V1" t="s">
        <v>45</v>
      </c>
    </row>
    <row r="2" spans="1:22" ht="18" x14ac:dyDescent="0.2">
      <c r="A2" s="1"/>
      <c r="B2" s="11" t="s">
        <v>2</v>
      </c>
      <c r="C2" s="11" t="s">
        <v>26</v>
      </c>
      <c r="D2" s="12">
        <v>45.12</v>
      </c>
      <c r="E2" s="15">
        <v>27951754</v>
      </c>
      <c r="F2" s="15">
        <v>0</v>
      </c>
      <c r="G2" s="18">
        <v>16.93</v>
      </c>
      <c r="H2" s="18">
        <v>0</v>
      </c>
      <c r="I2" s="20">
        <v>83817105</v>
      </c>
      <c r="J2" s="22">
        <v>0</v>
      </c>
      <c r="K2" s="3">
        <v>0.72802587500000004</v>
      </c>
      <c r="L2" s="3">
        <v>0</v>
      </c>
      <c r="M2" s="3">
        <v>0.34176804166666602</v>
      </c>
      <c r="N2" s="3">
        <v>0</v>
      </c>
      <c r="O2" s="3">
        <v>0.47595424999999902</v>
      </c>
      <c r="P2" s="3">
        <v>0</v>
      </c>
      <c r="Q2" s="3">
        <v>3.0021804166666601E-3</v>
      </c>
      <c r="R2" s="3">
        <v>0</v>
      </c>
      <c r="S2" s="3">
        <v>3.0997954166666602E-3</v>
      </c>
      <c r="T2" s="3">
        <v>0</v>
      </c>
      <c r="U2" s="3">
        <v>3.0546312499999998E-3</v>
      </c>
      <c r="V2" s="3">
        <v>0</v>
      </c>
    </row>
    <row r="3" spans="1:22" ht="18" x14ac:dyDescent="0.2">
      <c r="A3" s="1"/>
      <c r="B3" s="11" t="s">
        <v>2</v>
      </c>
      <c r="C3" s="11" t="s">
        <v>3</v>
      </c>
      <c r="D3" s="11">
        <v>55.7</v>
      </c>
      <c r="E3" s="16">
        <v>29050157</v>
      </c>
      <c r="F3" s="16">
        <f>(E3-E2)/E2</f>
        <v>3.9296389056658124E-2</v>
      </c>
      <c r="G3" s="18">
        <v>16.992100000000001</v>
      </c>
      <c r="H3" s="18">
        <f>(G3-G2)/G2</f>
        <v>3.6680448907265759E-3</v>
      </c>
      <c r="I3" s="20">
        <v>85081147</v>
      </c>
      <c r="J3" s="22">
        <f>(I3-I2)/I2</f>
        <v>1.5080955134396494E-2</v>
      </c>
      <c r="K3" s="3">
        <v>0.72194191666666596</v>
      </c>
      <c r="L3" s="3">
        <f>(K3-K2)/K2</f>
        <v>-8.3567886008640586E-3</v>
      </c>
      <c r="M3" s="3">
        <v>0.33817687499999899</v>
      </c>
      <c r="N3" s="3">
        <f>(M3-M2)/M2</f>
        <v>-1.0507614021353051E-2</v>
      </c>
      <c r="O3" s="3">
        <v>0.470896124999999</v>
      </c>
      <c r="P3" s="3">
        <f>(O3-O2)/O2</f>
        <v>-1.0627334454939807E-2</v>
      </c>
      <c r="Q3" s="3">
        <v>2.9876279166666602E-3</v>
      </c>
      <c r="R3" s="3">
        <f>(Q3-Q2)/Q2</f>
        <v>-4.8473102812913596E-3</v>
      </c>
      <c r="S3" s="3">
        <v>3.1765408333333301E-3</v>
      </c>
      <c r="T3" s="3">
        <f>(S3-S2)/S2</f>
        <v>2.4758219930913216E-2</v>
      </c>
      <c r="U3" s="3">
        <v>3.0490133333333298E-3</v>
      </c>
      <c r="V3">
        <f>(U3-U2)/U2</f>
        <v>-1.8391472511354518E-3</v>
      </c>
    </row>
    <row r="4" spans="1:22" ht="18" x14ac:dyDescent="0.2">
      <c r="A4" s="1"/>
      <c r="B4" s="11" t="s">
        <v>2</v>
      </c>
      <c r="C4" s="11" t="s">
        <v>4</v>
      </c>
      <c r="D4" s="11">
        <v>66.13</v>
      </c>
      <c r="E4" s="16">
        <v>30981608</v>
      </c>
      <c r="F4" s="16">
        <f>(E4-E2)/E2</f>
        <v>0.10839584521243283</v>
      </c>
      <c r="G4" s="18">
        <v>16.965399999999999</v>
      </c>
      <c r="H4" s="18">
        <f>(G4-G2)/G2</f>
        <v>2.0909627879503374E-3</v>
      </c>
      <c r="I4" s="20">
        <v>85572425</v>
      </c>
      <c r="J4" s="22">
        <f>(I4-I2)/I2</f>
        <v>2.0942264708379035E-2</v>
      </c>
      <c r="K4" s="3">
        <v>0.71775470833333299</v>
      </c>
      <c r="L4" s="3">
        <f>(K4-K2)/K2</f>
        <v>-1.4108243977821603E-2</v>
      </c>
      <c r="M4" s="3">
        <v>0.33710937499999999</v>
      </c>
      <c r="N4" s="3">
        <f>(M4-M2)/M2</f>
        <v>-1.3631077510780645E-2</v>
      </c>
      <c r="O4" s="3">
        <v>0.46859558333333301</v>
      </c>
      <c r="P4" s="3">
        <f>(O4-O2)/O2</f>
        <v>-1.5460869750960369E-2</v>
      </c>
      <c r="Q4" s="3">
        <v>3.0231012500000001E-3</v>
      </c>
      <c r="R4" s="3">
        <f>(Q4-Q2)/Q2</f>
        <v>6.9685463329244527E-3</v>
      </c>
      <c r="S4" s="3">
        <v>3.0810479166666601E-3</v>
      </c>
      <c r="T4" s="3">
        <f>(S4-S2)/S2</f>
        <v>-6.047979779310755E-3</v>
      </c>
      <c r="U4" s="3">
        <v>3.0279445833333299E-3</v>
      </c>
      <c r="V4">
        <f>(U4-U2)/U2</f>
        <v>-8.7364609612600366E-3</v>
      </c>
    </row>
    <row r="5" spans="1:22" ht="18" x14ac:dyDescent="0.2">
      <c r="A5" s="1"/>
      <c r="B5" s="11" t="s">
        <v>2</v>
      </c>
      <c r="C5" s="11" t="s">
        <v>5</v>
      </c>
      <c r="D5" s="12">
        <v>83.43</v>
      </c>
      <c r="E5" s="15">
        <v>34716803</v>
      </c>
      <c r="F5" s="16">
        <f>(E5-E2)/E2</f>
        <v>0.24202592080625782</v>
      </c>
      <c r="G5" s="18">
        <v>16.982500000000002</v>
      </c>
      <c r="H5" s="18">
        <f>(G5-G2)/G2</f>
        <v>3.1010041346722973E-3</v>
      </c>
      <c r="I5" s="20">
        <v>85862657</v>
      </c>
      <c r="J5" s="22">
        <f>(I5-I2)/I2</f>
        <v>2.4404946937740216E-2</v>
      </c>
      <c r="K5" s="3">
        <v>0.71390995833333304</v>
      </c>
      <c r="L5" s="3">
        <f>(K5-K2)/K2</f>
        <v>-1.9389306275229577E-2</v>
      </c>
      <c r="M5" s="3">
        <v>0.336846916666666</v>
      </c>
      <c r="N5" s="3">
        <f>(M5-M2)/M2</f>
        <v>-1.4399020388219063E-2</v>
      </c>
      <c r="O5" s="3">
        <v>0.46706599999999998</v>
      </c>
      <c r="P5" s="3">
        <f>(O5-O2)/O2</f>
        <v>-1.8674588996734583E-2</v>
      </c>
      <c r="Q5" s="3">
        <v>3.5255025E-3</v>
      </c>
      <c r="R5" s="3">
        <f>(Q5-Q2)/Q2</f>
        <v>0.17431400205933917</v>
      </c>
      <c r="S5" s="3">
        <v>3.2292975000000001E-3</v>
      </c>
      <c r="T5" s="3">
        <f>(S5-S2)/S2</f>
        <v>4.1777622689886711E-2</v>
      </c>
      <c r="U5" s="3">
        <v>3.4031662499999899E-3</v>
      </c>
      <c r="V5">
        <f>(U5-U2)/U2</f>
        <v>0.11410051540590706</v>
      </c>
    </row>
    <row r="6" spans="1:22" ht="18" x14ac:dyDescent="0.2">
      <c r="A6" s="1"/>
      <c r="B6" s="11" t="s">
        <v>2</v>
      </c>
      <c r="C6" s="11" t="s">
        <v>24</v>
      </c>
      <c r="D6" s="14">
        <v>51.26</v>
      </c>
      <c r="E6" s="3">
        <v>37957707</v>
      </c>
      <c r="F6" s="16">
        <f>(E6-E2)/E2</f>
        <v>0.35797227608686022</v>
      </c>
      <c r="G6" s="3">
        <v>17.979600000000001</v>
      </c>
      <c r="H6" s="18">
        <f>(G6-G2)/G2</f>
        <v>6.1996455995274757E-2</v>
      </c>
      <c r="I6" s="21">
        <v>85487035</v>
      </c>
      <c r="J6" s="22">
        <f>(I6-I2)/I2</f>
        <v>1.9923498908725135E-2</v>
      </c>
      <c r="K6" s="3">
        <v>0.72059054166666603</v>
      </c>
      <c r="L6" s="3">
        <f>(K6-K2)/K2</f>
        <v>-1.0213006966729053E-2</v>
      </c>
      <c r="M6" s="3">
        <v>0.33027116666666601</v>
      </c>
      <c r="N6" s="3">
        <f>(M6-M2)/M2</f>
        <v>-3.3639409185055327E-2</v>
      </c>
      <c r="O6" s="3">
        <v>0.46411870833333302</v>
      </c>
      <c r="P6" s="3">
        <f>(O6-O2)/O2</f>
        <v>-2.4866973383820039E-2</v>
      </c>
      <c r="Q6" s="3">
        <v>2.4670045833333301E-3</v>
      </c>
      <c r="R6" s="3">
        <f>(Q6-Q2)/Q2</f>
        <v>-0.17826238235460184</v>
      </c>
      <c r="S6" s="3">
        <v>3.0586699999999899E-3</v>
      </c>
      <c r="T6" s="3">
        <f>(S6-S2)/S2</f>
        <v>-1.3267139000706751E-2</v>
      </c>
      <c r="U6" s="3">
        <v>2.6094116666666601E-3</v>
      </c>
      <c r="V6">
        <f>(U6-U2)/U2</f>
        <v>-0.14575231734872734</v>
      </c>
    </row>
    <row r="7" spans="1:22" ht="18" x14ac:dyDescent="0.2">
      <c r="A7" s="1"/>
      <c r="B7" s="11" t="s">
        <v>6</v>
      </c>
      <c r="C7" s="11" t="s">
        <v>26</v>
      </c>
      <c r="D7" s="12">
        <v>98.83</v>
      </c>
      <c r="E7" s="15">
        <v>92206354</v>
      </c>
      <c r="F7" s="16">
        <v>0</v>
      </c>
      <c r="G7" s="18">
        <v>14.4331</v>
      </c>
      <c r="H7" s="18">
        <v>0</v>
      </c>
      <c r="I7" s="20">
        <v>248763401</v>
      </c>
      <c r="J7" s="22">
        <v>0</v>
      </c>
      <c r="K7" s="3">
        <v>0.41861295833333301</v>
      </c>
      <c r="L7" s="3">
        <v>0</v>
      </c>
      <c r="M7" s="3">
        <v>0.22773870833333301</v>
      </c>
      <c r="N7" s="3">
        <v>0</v>
      </c>
      <c r="O7" s="3">
        <v>0.246660875</v>
      </c>
      <c r="P7" s="3">
        <v>0</v>
      </c>
      <c r="Q7" s="3">
        <v>2.14332624999999E-3</v>
      </c>
      <c r="R7" s="3">
        <v>0</v>
      </c>
      <c r="S7" s="3">
        <v>1.3761528333333299E-3</v>
      </c>
      <c r="T7" s="3">
        <v>0</v>
      </c>
      <c r="U7" s="3">
        <v>1.3333307083333299E-3</v>
      </c>
      <c r="V7">
        <v>0</v>
      </c>
    </row>
    <row r="8" spans="1:22" ht="18" x14ac:dyDescent="0.2">
      <c r="A8" s="1"/>
      <c r="B8" s="11" t="s">
        <v>6</v>
      </c>
      <c r="C8" s="11" t="s">
        <v>3</v>
      </c>
      <c r="D8" s="12">
        <v>99.08</v>
      </c>
      <c r="E8" s="15">
        <v>92172854</v>
      </c>
      <c r="F8" s="16">
        <f t="shared" ref="F8" si="0">(E8-E7)/E7</f>
        <v>-3.6331552595605287E-4</v>
      </c>
      <c r="G8" s="18">
        <v>14.434799999999999</v>
      </c>
      <c r="H8" s="18">
        <f>(G8-G7)/G7</f>
        <v>1.1778481407317837E-4</v>
      </c>
      <c r="I8" s="20">
        <v>248698927</v>
      </c>
      <c r="J8" s="22">
        <f>(I8-I7)/I7</f>
        <v>-2.5917799700768683E-4</v>
      </c>
      <c r="K8" s="3">
        <v>0.41914991666666601</v>
      </c>
      <c r="L8" s="3">
        <f>(K8-K7)/K7</f>
        <v>1.2827083410672517E-3</v>
      </c>
      <c r="M8" s="3">
        <v>0.22824441666666601</v>
      </c>
      <c r="N8" s="3">
        <f>(M8-M7)/M7</f>
        <v>2.2205638076808905E-3</v>
      </c>
      <c r="O8" s="3">
        <v>0.247066166666666</v>
      </c>
      <c r="P8" s="3">
        <f>(O8-O7)/O7</f>
        <v>1.643112904168536E-3</v>
      </c>
      <c r="Q8" s="3">
        <v>2.1149733333333301E-3</v>
      </c>
      <c r="R8" s="3">
        <f t="shared" ref="R4:R67" si="1">(Q8-Q7)/Q7</f>
        <v>-1.3228465179605747E-2</v>
      </c>
      <c r="S8" s="3">
        <v>1.36512020833333E-3</v>
      </c>
      <c r="T8" s="3">
        <f>(S8-S7)/S7</f>
        <v>-8.017005620863037E-3</v>
      </c>
      <c r="U8" s="3">
        <v>1.31895754166666E-3</v>
      </c>
      <c r="V8">
        <f>(U8-U7)/U7</f>
        <v>-1.0779896222923115E-2</v>
      </c>
    </row>
    <row r="9" spans="1:22" ht="18" x14ac:dyDescent="0.2">
      <c r="A9" s="1"/>
      <c r="B9" s="11" t="s">
        <v>6</v>
      </c>
      <c r="C9" s="11" t="s">
        <v>4</v>
      </c>
      <c r="D9" s="11">
        <v>80.98</v>
      </c>
      <c r="E9" s="15">
        <v>92206030</v>
      </c>
      <c r="F9" s="16">
        <f>(E9-E7)/E7</f>
        <v>-3.5138576241719739E-6</v>
      </c>
      <c r="G9" s="18">
        <v>14.4331</v>
      </c>
      <c r="H9" s="18">
        <f>(G9-G7)/G7</f>
        <v>0</v>
      </c>
      <c r="I9" s="20">
        <v>248761902</v>
      </c>
      <c r="J9" s="22">
        <f>(I9-I7)/I7</f>
        <v>-6.0258060228079932E-6</v>
      </c>
      <c r="K9" s="3">
        <v>0.41924699999999998</v>
      </c>
      <c r="L9" s="3">
        <f>(K9-K7)/K7</f>
        <v>1.5146250349997502E-3</v>
      </c>
      <c r="M9" s="3">
        <v>0.22828316666666601</v>
      </c>
      <c r="N9" s="3">
        <f>(M9-M7)/M7</f>
        <v>2.390714943970322E-3</v>
      </c>
      <c r="O9" s="3">
        <v>0.247146583333333</v>
      </c>
      <c r="P9" s="3">
        <f>(O9-O7)/O7</f>
        <v>1.9691340725723179E-3</v>
      </c>
      <c r="Q9" s="3">
        <v>2.10278666666666E-3</v>
      </c>
      <c r="R9" s="3">
        <f>(Q9-Q7)/Q7</f>
        <v>-1.8914331559803464E-2</v>
      </c>
      <c r="S9" s="3">
        <v>1.3480338333333301E-3</v>
      </c>
      <c r="T9" s="3">
        <f>(S9-S7)/S7</f>
        <v>-2.0433050253502547E-2</v>
      </c>
      <c r="U9" s="3">
        <v>1.30998725E-3</v>
      </c>
      <c r="V9">
        <f>(U9-U7)/U7</f>
        <v>-1.7507628218140558E-2</v>
      </c>
    </row>
    <row r="10" spans="1:22" ht="18" x14ac:dyDescent="0.2">
      <c r="A10" s="1"/>
      <c r="B10" s="11" t="s">
        <v>6</v>
      </c>
      <c r="C10" s="11" t="s">
        <v>5</v>
      </c>
      <c r="D10" s="12">
        <v>99.48</v>
      </c>
      <c r="E10" s="15">
        <v>92092028</v>
      </c>
      <c r="F10" s="16">
        <f>(E10-E7)/E7</f>
        <v>-1.2398928603119912E-3</v>
      </c>
      <c r="G10" s="7">
        <v>14.435600000000001</v>
      </c>
      <c r="H10" s="18">
        <f>(G10-G7)/G7</f>
        <v>1.7321296187245146E-4</v>
      </c>
      <c r="I10" s="20">
        <v>248633134</v>
      </c>
      <c r="J10" s="22">
        <f>(I10-I7)/I7</f>
        <v>-5.2365822092937222E-4</v>
      </c>
      <c r="K10" s="3">
        <v>0.41890141666666603</v>
      </c>
      <c r="L10" s="3">
        <f>(K10-K7)/K7</f>
        <v>6.890812326533995E-4</v>
      </c>
      <c r="M10" s="3">
        <v>0.22822258333333301</v>
      </c>
      <c r="N10" s="3">
        <f>(M10-M7)/M7</f>
        <v>2.1246937050848824E-3</v>
      </c>
      <c r="O10" s="3">
        <v>0.246969999999999</v>
      </c>
      <c r="P10" s="3">
        <f>(O10-O7)/O7</f>
        <v>1.2532388851656925E-3</v>
      </c>
      <c r="Q10" s="3">
        <v>2.1255904166666601E-3</v>
      </c>
      <c r="R10" s="3">
        <f>(Q10-Q7)/Q7</f>
        <v>-8.2749107063518693E-3</v>
      </c>
      <c r="S10" s="3">
        <v>1.3725124583333301E-3</v>
      </c>
      <c r="T10" s="3">
        <f>(S10-S7)/S7</f>
        <v>-2.645327547800138E-3</v>
      </c>
      <c r="U10" s="3">
        <v>1.32599508333333E-3</v>
      </c>
      <c r="V10">
        <f>(U10-U7)/U7</f>
        <v>-5.5017295815300614E-3</v>
      </c>
    </row>
    <row r="11" spans="1:22" ht="18" x14ac:dyDescent="0.2">
      <c r="A11" s="1"/>
      <c r="B11" s="11" t="s">
        <v>6</v>
      </c>
      <c r="C11" s="11" t="s">
        <v>24</v>
      </c>
      <c r="D11" s="14">
        <v>98.86</v>
      </c>
      <c r="E11" s="3">
        <v>101143980</v>
      </c>
      <c r="F11" s="16">
        <f>(E11-E7)/E7</f>
        <v>9.693069525338785E-2</v>
      </c>
      <c r="G11" s="3">
        <v>14.786899999999999</v>
      </c>
      <c r="H11" s="18">
        <f>(G11-G7)/G7</f>
        <v>2.4513098364176766E-2</v>
      </c>
      <c r="I11" s="21">
        <v>252380484</v>
      </c>
      <c r="J11" s="22">
        <f>(I11-I7)/I7</f>
        <v>1.4540253853499937E-2</v>
      </c>
      <c r="K11" s="3">
        <v>0.41511962499999999</v>
      </c>
      <c r="L11" s="3">
        <f>(K11-K7)/K7</f>
        <v>-8.3450195790435722E-3</v>
      </c>
      <c r="M11" s="3">
        <v>0.22436204166666601</v>
      </c>
      <c r="N11" s="3">
        <f>(M11-M7)/M7</f>
        <v>-1.4826933424618768E-2</v>
      </c>
      <c r="O11" s="3">
        <v>0.243382874999999</v>
      </c>
      <c r="P11" s="3">
        <f>(O11-O7)/O7</f>
        <v>-1.3289501223090213E-2</v>
      </c>
      <c r="Q11" s="3">
        <v>2.0911175000000001E-3</v>
      </c>
      <c r="R11" s="3">
        <f>(Q11-Q7)/Q7</f>
        <v>-2.4358750796800104E-2</v>
      </c>
      <c r="S11" s="3">
        <v>1.36043379166666E-3</v>
      </c>
      <c r="T11" s="3">
        <f>(S11-S7)/S7</f>
        <v>-1.1422453441159634E-2</v>
      </c>
      <c r="U11" s="3">
        <v>1.30301983333333E-3</v>
      </c>
      <c r="V11">
        <f>(U11-U7)/U7</f>
        <v>-2.2733201005989499E-2</v>
      </c>
    </row>
    <row r="12" spans="1:22" ht="18" x14ac:dyDescent="0.2">
      <c r="A12" s="1"/>
      <c r="B12" s="11" t="s">
        <v>7</v>
      </c>
      <c r="C12" s="11" t="s">
        <v>26</v>
      </c>
      <c r="D12" s="11">
        <v>92.54</v>
      </c>
      <c r="E12" s="15">
        <v>41645086</v>
      </c>
      <c r="F12" s="16">
        <v>0</v>
      </c>
      <c r="G12" s="18">
        <v>15.799799999999999</v>
      </c>
      <c r="H12" s="18">
        <v>0</v>
      </c>
      <c r="I12" s="20">
        <v>141374864</v>
      </c>
      <c r="J12" s="22">
        <v>0</v>
      </c>
      <c r="K12" s="3">
        <v>0.56816958333333301</v>
      </c>
      <c r="L12" s="3">
        <v>0</v>
      </c>
      <c r="M12" s="3">
        <v>0.26123908333333301</v>
      </c>
      <c r="N12" s="3">
        <v>0</v>
      </c>
      <c r="O12" s="3">
        <v>0.331323916666666</v>
      </c>
      <c r="P12" s="3">
        <v>0</v>
      </c>
      <c r="Q12" s="3">
        <v>3.4220716666666599E-3</v>
      </c>
      <c r="R12" s="3">
        <v>0</v>
      </c>
      <c r="S12" s="3">
        <v>2.3862758333333301E-3</v>
      </c>
      <c r="T12" s="3">
        <v>0</v>
      </c>
      <c r="U12" s="3">
        <v>2.2354554166666598E-3</v>
      </c>
      <c r="V12">
        <v>0</v>
      </c>
    </row>
    <row r="13" spans="1:22" ht="18" x14ac:dyDescent="0.2">
      <c r="A13" s="1"/>
      <c r="B13" s="11" t="s">
        <v>7</v>
      </c>
      <c r="C13" s="11" t="s">
        <v>3</v>
      </c>
      <c r="D13" s="12">
        <v>94.3</v>
      </c>
      <c r="E13" s="15">
        <v>41616024</v>
      </c>
      <c r="F13" s="16">
        <f>(E13-E12)/E12</f>
        <v>-6.9784944134825412E-4</v>
      </c>
      <c r="G13" s="18">
        <v>15.827400000000001</v>
      </c>
      <c r="H13" s="18">
        <f>(G13-G12)/G12</f>
        <v>1.7468575551590148E-3</v>
      </c>
      <c r="I13" s="20">
        <v>141789630</v>
      </c>
      <c r="J13" s="22">
        <f>(I13-I12)/I12</f>
        <v>2.9338029990960768E-3</v>
      </c>
      <c r="K13" s="3">
        <v>0.56466416666666597</v>
      </c>
      <c r="L13" s="3">
        <f t="shared" ref="L13" si="2">(K13-K12)/K12</f>
        <v>-6.1696661868125471E-3</v>
      </c>
      <c r="M13" s="3">
        <v>0.26100087500000002</v>
      </c>
      <c r="N13" s="3">
        <f>(M13-M12)/M12</f>
        <v>-9.1184033527266426E-4</v>
      </c>
      <c r="O13" s="3">
        <v>0.33030716666666599</v>
      </c>
      <c r="P13" s="3">
        <f>(O13-O12)/O12</f>
        <v>-3.0687491872883089E-3</v>
      </c>
      <c r="Q13" s="3">
        <v>3.4186258333333301E-3</v>
      </c>
      <c r="R13" s="3">
        <f>(Q13-Q12)/Q12</f>
        <v>-1.0069436496303037E-3</v>
      </c>
      <c r="S13" s="3">
        <v>2.4187754166666601E-3</v>
      </c>
      <c r="T13" s="3">
        <f>(S13-S12)/S12</f>
        <v>1.3619374122367149E-2</v>
      </c>
      <c r="U13" s="3">
        <v>2.2483904166666598E-3</v>
      </c>
      <c r="V13">
        <f>(U13-U12)/U12</f>
        <v>5.7862929869062774E-3</v>
      </c>
    </row>
    <row r="14" spans="1:22" ht="18" x14ac:dyDescent="0.2">
      <c r="A14" s="1"/>
      <c r="B14" s="11" t="s">
        <v>7</v>
      </c>
      <c r="C14" s="11" t="s">
        <v>4</v>
      </c>
      <c r="D14" s="12">
        <v>95.78</v>
      </c>
      <c r="E14" s="15">
        <v>41656091</v>
      </c>
      <c r="F14" s="16">
        <f>(E14-E12)/E12</f>
        <v>2.6425686814525966E-4</v>
      </c>
      <c r="G14" s="18">
        <v>15.847300000000001</v>
      </c>
      <c r="H14" s="18">
        <f t="shared" ref="H14" si="3">(G14-G12)/G12</f>
        <v>3.0063671692047498E-3</v>
      </c>
      <c r="I14" s="20">
        <v>141981124</v>
      </c>
      <c r="J14" s="22">
        <f>(I14-I12)/I12</f>
        <v>4.2883153542768396E-3</v>
      </c>
      <c r="K14" s="3">
        <v>0.56197724999999998</v>
      </c>
      <c r="L14" s="3">
        <f>(K14-K12)/K12</f>
        <v>-1.089874135289659E-2</v>
      </c>
      <c r="M14" s="3">
        <v>0.26036720833333299</v>
      </c>
      <c r="N14" s="3">
        <f>(M14-M12)/M12</f>
        <v>-3.3374600342152339E-3</v>
      </c>
      <c r="O14" s="3">
        <v>0.32930358333333298</v>
      </c>
      <c r="P14" s="3">
        <f>(O14-O12)/O12</f>
        <v>-6.0977588145730011E-3</v>
      </c>
      <c r="Q14" s="3">
        <v>3.4788608333333301E-3</v>
      </c>
      <c r="R14" s="3">
        <f>(Q14-Q12)/Q12</f>
        <v>1.6594967083780263E-2</v>
      </c>
      <c r="S14" s="3">
        <v>2.4563950000000001E-3</v>
      </c>
      <c r="T14" s="3">
        <f>(S14-S12)/S12</f>
        <v>2.9384350998820745E-2</v>
      </c>
      <c r="U14" s="3">
        <v>2.2985249999999901E-3</v>
      </c>
      <c r="V14">
        <f>(U14-U12)/U12</f>
        <v>2.8213304037785179E-2</v>
      </c>
    </row>
    <row r="15" spans="1:22" ht="18" x14ac:dyDescent="0.2">
      <c r="A15" s="1"/>
      <c r="B15" s="11" t="s">
        <v>7</v>
      </c>
      <c r="C15" s="11" t="s">
        <v>5</v>
      </c>
      <c r="D15" s="11">
        <v>97.81</v>
      </c>
      <c r="E15" s="15">
        <v>41845934</v>
      </c>
      <c r="F15" s="16">
        <f>(E15-E12)/E12</f>
        <v>4.8228499276001015E-3</v>
      </c>
      <c r="G15" s="18">
        <v>15.923299999999999</v>
      </c>
      <c r="H15" s="18">
        <f>(G15-G12)/G12</f>
        <v>7.8165546399321471E-3</v>
      </c>
      <c r="I15" s="20">
        <v>142517759</v>
      </c>
      <c r="J15" s="22">
        <f>(I15-I12)/I12</f>
        <v>8.0841457078254016E-3</v>
      </c>
      <c r="K15" s="3">
        <v>0.55935075000000001</v>
      </c>
      <c r="L15" s="3">
        <f>(K15-K12)/K12</f>
        <v>-1.5521480895888043E-2</v>
      </c>
      <c r="M15" s="3">
        <v>0.259158416666666</v>
      </c>
      <c r="N15" s="3">
        <f>(M15-M12)/M12</f>
        <v>-7.9646071335051413E-3</v>
      </c>
      <c r="O15" s="3">
        <v>0.32785724999999899</v>
      </c>
      <c r="P15" s="3">
        <f>(O15-O12)/O12</f>
        <v>-1.0463074025998265E-2</v>
      </c>
      <c r="Q15" s="3">
        <v>3.5975562499999999E-3</v>
      </c>
      <c r="R15" s="3">
        <f>(Q15-Q12)/Q12</f>
        <v>5.1280218658972282E-2</v>
      </c>
      <c r="S15" s="3">
        <v>2.5461008333333298E-3</v>
      </c>
      <c r="T15" s="3">
        <f>(S15-S12)/S12</f>
        <v>6.6976750033437712E-2</v>
      </c>
      <c r="U15" s="3">
        <v>2.3953933333333301E-3</v>
      </c>
      <c r="V15">
        <f>(U15-U12)/U12</f>
        <v>7.1546010479223723E-2</v>
      </c>
    </row>
    <row r="16" spans="1:22" ht="18" x14ac:dyDescent="0.2">
      <c r="A16" s="1"/>
      <c r="B16" s="11" t="s">
        <v>7</v>
      </c>
      <c r="C16" s="11" t="s">
        <v>24</v>
      </c>
      <c r="D16" s="14">
        <v>93.67</v>
      </c>
      <c r="E16" s="3">
        <v>47499527</v>
      </c>
      <c r="F16" s="16">
        <f>(E16-E12)/E12</f>
        <v>0.14057939512959583</v>
      </c>
      <c r="G16" s="3">
        <v>16.444800000000001</v>
      </c>
      <c r="H16" s="18">
        <f>(G16-G12)/G12</f>
        <v>4.0823301560779339E-2</v>
      </c>
      <c r="I16" s="21">
        <v>141827547</v>
      </c>
      <c r="J16" s="22">
        <f>(I16-I12)/I12</f>
        <v>3.2020048486129755E-3</v>
      </c>
      <c r="K16" s="3">
        <v>0.562478583333333</v>
      </c>
      <c r="L16" s="3">
        <f>(K16-K12)/K12</f>
        <v>-1.0016375685956445E-2</v>
      </c>
      <c r="M16" s="3">
        <v>0.25601299999999999</v>
      </c>
      <c r="N16" s="3">
        <f>(M16-M12)/M12</f>
        <v>-2.0004982664346204E-2</v>
      </c>
      <c r="O16" s="3">
        <v>0.32539370833333298</v>
      </c>
      <c r="P16" s="3">
        <f>(O16-O12)/O12</f>
        <v>-1.7898521763821857E-2</v>
      </c>
      <c r="Q16" s="3">
        <v>3.2424083333333301E-3</v>
      </c>
      <c r="R16" s="3">
        <f>(Q16-Q12)/Q12</f>
        <v>-5.2501335691877704E-2</v>
      </c>
      <c r="S16" s="3">
        <v>2.5597154166666601E-3</v>
      </c>
      <c r="T16" s="3">
        <f>(S16-S12)/S12</f>
        <v>7.2682118684937E-2</v>
      </c>
      <c r="U16" s="3">
        <v>2.22400166666666E-3</v>
      </c>
      <c r="V16">
        <f>(U16-U12)/U12</f>
        <v>-5.1236763276982754E-3</v>
      </c>
    </row>
    <row r="17" spans="1:22" ht="18" x14ac:dyDescent="0.2">
      <c r="A17" s="1"/>
      <c r="B17" s="11" t="s">
        <v>8</v>
      </c>
      <c r="C17" s="11" t="s">
        <v>26</v>
      </c>
      <c r="D17" s="12">
        <v>98.91</v>
      </c>
      <c r="E17" s="15">
        <v>58476945</v>
      </c>
      <c r="F17" s="16">
        <v>0</v>
      </c>
      <c r="G17" s="18">
        <v>16.961200000000002</v>
      </c>
      <c r="H17" s="18">
        <v>0</v>
      </c>
      <c r="I17" s="20">
        <v>272506359</v>
      </c>
      <c r="J17" s="22">
        <v>0</v>
      </c>
      <c r="K17" s="3">
        <v>0.3051275</v>
      </c>
      <c r="L17" s="3">
        <v>0</v>
      </c>
      <c r="M17" s="3">
        <v>0.19018733333333299</v>
      </c>
      <c r="N17" s="3">
        <v>0</v>
      </c>
      <c r="O17" s="3">
        <v>0.181590208333333</v>
      </c>
      <c r="P17" s="3">
        <v>0</v>
      </c>
      <c r="Q17" s="3">
        <v>1.7261174999999901E-3</v>
      </c>
      <c r="R17" s="3">
        <v>0</v>
      </c>
      <c r="S17" s="3">
        <v>1.27963341666666E-3</v>
      </c>
      <c r="T17" s="3">
        <v>0</v>
      </c>
      <c r="U17" s="3">
        <v>1.02335525E-3</v>
      </c>
      <c r="V17">
        <v>0</v>
      </c>
    </row>
    <row r="18" spans="1:22" ht="18" x14ac:dyDescent="0.2">
      <c r="A18" s="1"/>
      <c r="B18" s="11" t="s">
        <v>8</v>
      </c>
      <c r="C18" s="11" t="s">
        <v>3</v>
      </c>
      <c r="D18" s="12">
        <v>99.16</v>
      </c>
      <c r="E18" s="15">
        <v>58421564</v>
      </c>
      <c r="F18" s="16">
        <f>(E18-E17)/E17</f>
        <v>-9.470569982751322E-4</v>
      </c>
      <c r="G18" s="18">
        <v>16.962399999999999</v>
      </c>
      <c r="H18" s="18">
        <f>(G18-G17)/G17</f>
        <v>7.0749711105181422E-5</v>
      </c>
      <c r="I18" s="20">
        <v>272414262</v>
      </c>
      <c r="J18" s="22">
        <f>(I18-I17)/I17</f>
        <v>-3.3796275557738454E-4</v>
      </c>
      <c r="K18" s="3">
        <v>0.305520291666666</v>
      </c>
      <c r="L18" s="3">
        <f>(K18-K17)/K17</f>
        <v>1.2873033950266811E-3</v>
      </c>
      <c r="M18" s="3">
        <v>0.19058475</v>
      </c>
      <c r="N18" s="3">
        <f>(M18-M17)/M17</f>
        <v>2.0896063880893488E-3</v>
      </c>
      <c r="O18" s="3">
        <v>0.18194120833333299</v>
      </c>
      <c r="P18" s="3">
        <f t="shared" ref="P18" si="4">(O18-O17)/O17</f>
        <v>1.9329236043150685E-3</v>
      </c>
      <c r="Q18" s="3">
        <v>1.7190475E-3</v>
      </c>
      <c r="R18" s="3">
        <f>(Q18-Q17)/Q17</f>
        <v>-4.0958972955144396E-3</v>
      </c>
      <c r="S18" s="3">
        <v>1.2926056249999999E-3</v>
      </c>
      <c r="T18" s="3">
        <f>(S18-S17)/S17</f>
        <v>1.0137441054901072E-2</v>
      </c>
      <c r="U18" s="3">
        <v>1.02212183333333E-3</v>
      </c>
      <c r="V18">
        <f>(U18-U17)/U17</f>
        <v>-1.2052673464761367E-3</v>
      </c>
    </row>
    <row r="19" spans="1:22" ht="18" x14ac:dyDescent="0.2">
      <c r="A19" s="1"/>
      <c r="B19" s="11" t="s">
        <v>8</v>
      </c>
      <c r="C19" s="11" t="s">
        <v>4</v>
      </c>
      <c r="D19" s="12">
        <v>98.91</v>
      </c>
      <c r="E19" s="15">
        <v>58476614</v>
      </c>
      <c r="F19" s="16">
        <f>(E19-E17)/E17</f>
        <v>-5.6603504167326113E-6</v>
      </c>
      <c r="G19" s="18">
        <v>16.961200000000002</v>
      </c>
      <c r="H19" s="18">
        <f>(G19-G17)/G17</f>
        <v>0</v>
      </c>
      <c r="I19" s="20">
        <v>272504614</v>
      </c>
      <c r="J19" s="22">
        <f>(I19-I17)/I17</f>
        <v>-6.4035202936310196E-6</v>
      </c>
      <c r="K19" s="3">
        <v>0.30559883333333299</v>
      </c>
      <c r="L19" s="3">
        <f>(K19-K17)/K17</f>
        <v>1.5447094520585347E-3</v>
      </c>
      <c r="M19" s="3">
        <v>0.190581208333333</v>
      </c>
      <c r="N19" s="3">
        <f>(M19-M17)/M17</f>
        <v>2.07098439783941E-3</v>
      </c>
      <c r="O19" s="3">
        <v>0.18195083333333301</v>
      </c>
      <c r="P19" s="3">
        <f>(O19-O17)/O17</f>
        <v>1.9859275635502774E-3</v>
      </c>
      <c r="Q19" s="3">
        <v>1.70208708333333E-3</v>
      </c>
      <c r="R19" s="3">
        <f>(Q19-Q17)/Q17</f>
        <v>-1.3921657515586435E-2</v>
      </c>
      <c r="S19" s="3">
        <v>1.2632545833333301E-3</v>
      </c>
      <c r="T19" s="3">
        <f>(S19-S17)/S17</f>
        <v>-1.2799629268822494E-2</v>
      </c>
      <c r="U19" s="3">
        <v>1.0086601666666601E-3</v>
      </c>
      <c r="V19">
        <f>(U19-U17)/U17</f>
        <v>-1.4359708745657885E-2</v>
      </c>
    </row>
    <row r="20" spans="1:22" ht="18" x14ac:dyDescent="0.2">
      <c r="A20" s="1"/>
      <c r="B20" s="11" t="s">
        <v>8</v>
      </c>
      <c r="C20" s="11" t="s">
        <v>5</v>
      </c>
      <c r="D20" s="12">
        <v>99.69</v>
      </c>
      <c r="E20" s="15">
        <v>58381069</v>
      </c>
      <c r="F20" s="16">
        <f>(E20-E17)/E17</f>
        <v>-1.639552134606211E-3</v>
      </c>
      <c r="G20" s="7">
        <v>16.967500000000001</v>
      </c>
      <c r="H20" s="18">
        <f>(G20-G17)/G17</f>
        <v>3.7143598330304032E-4</v>
      </c>
      <c r="I20" s="20">
        <v>272327145</v>
      </c>
      <c r="J20" s="22">
        <f>(I20-I17)/I17</f>
        <v>-6.5765070825374761E-4</v>
      </c>
      <c r="K20" s="3">
        <v>0.30526604166666599</v>
      </c>
      <c r="L20" s="3">
        <f>(K20-K17)/K17</f>
        <v>4.5404516690888963E-4</v>
      </c>
      <c r="M20" s="3">
        <v>0.19053541666666601</v>
      </c>
      <c r="N20" s="3">
        <f>(M20-M17)/M17</f>
        <v>1.8302130180402525E-3</v>
      </c>
      <c r="O20" s="3">
        <v>0.18185295833333301</v>
      </c>
      <c r="P20" s="3">
        <f>(O20-O17)/O17</f>
        <v>1.4469392508085757E-3</v>
      </c>
      <c r="Q20" s="3">
        <v>1.7395308333333301E-3</v>
      </c>
      <c r="R20" s="3">
        <f>(Q20-Q17)/Q17</f>
        <v>7.7708112763702668E-3</v>
      </c>
      <c r="S20" s="3">
        <v>1.3144040416666601E-3</v>
      </c>
      <c r="T20" s="3">
        <f>(S20-S17)/S17</f>
        <v>2.7172332753371404E-2</v>
      </c>
      <c r="U20" s="3">
        <v>1.0370017500000001E-3</v>
      </c>
      <c r="V20">
        <f>(U20-U17)/U17</f>
        <v>1.3335056423465988E-2</v>
      </c>
    </row>
    <row r="21" spans="1:22" ht="18" x14ac:dyDescent="0.2">
      <c r="A21" s="1"/>
      <c r="B21" s="11" t="s">
        <v>8</v>
      </c>
      <c r="C21" s="11" t="s">
        <v>24</v>
      </c>
      <c r="D21" s="14">
        <v>99.02</v>
      </c>
      <c r="E21" s="3">
        <v>65731750</v>
      </c>
      <c r="F21" s="16">
        <f t="shared" ref="F21" si="5">(E21-E17)/E17</f>
        <v>0.12406265409384844</v>
      </c>
      <c r="G21" s="3">
        <v>17.470300000000002</v>
      </c>
      <c r="H21" s="18">
        <f t="shared" ref="H21" si="6">(G21-G17)/G17</f>
        <v>3.0015564936443178E-2</v>
      </c>
      <c r="I21" s="21">
        <v>275303063</v>
      </c>
      <c r="J21" s="22">
        <f>(I21-I17)/I17</f>
        <v>1.0262894452308909E-2</v>
      </c>
      <c r="K21" s="3">
        <v>0.30120466666666601</v>
      </c>
      <c r="L21" s="3">
        <f>(K21-K17)/K17</f>
        <v>-1.2856374247925821E-2</v>
      </c>
      <c r="M21" s="3">
        <v>0.18704062499999999</v>
      </c>
      <c r="N21" s="3">
        <f>(M21-M17)/M17</f>
        <v>-1.6545309712176787E-2</v>
      </c>
      <c r="O21" s="3">
        <v>0.178305666666666</v>
      </c>
      <c r="P21" s="3">
        <f>(O21-O17)/O17</f>
        <v>-1.8087658452584556E-2</v>
      </c>
      <c r="Q21" s="3">
        <v>1.77763041666666E-3</v>
      </c>
      <c r="R21" s="3">
        <f>(Q21-Q17)/Q17</f>
        <v>2.9843227165398792E-2</v>
      </c>
      <c r="S21" s="3">
        <v>1.32860225E-3</v>
      </c>
      <c r="T21" s="3">
        <f>(S21-S17)/S17</f>
        <v>3.8267860697870623E-2</v>
      </c>
      <c r="U21" s="3">
        <v>1.049260375E-3</v>
      </c>
      <c r="V21">
        <f>(U21-U17)/U17</f>
        <v>2.5313912250902165E-2</v>
      </c>
    </row>
    <row r="22" spans="1:22" ht="18" x14ac:dyDescent="0.2">
      <c r="A22" s="1"/>
      <c r="B22" s="11" t="s">
        <v>9</v>
      </c>
      <c r="C22" s="11" t="s">
        <v>26</v>
      </c>
      <c r="D22" s="12">
        <v>60.7</v>
      </c>
      <c r="E22" s="15">
        <v>30682399</v>
      </c>
      <c r="F22" s="16">
        <v>0</v>
      </c>
      <c r="G22" s="18">
        <v>17.5473</v>
      </c>
      <c r="H22" s="18">
        <v>0</v>
      </c>
      <c r="I22" s="20">
        <v>97215050</v>
      </c>
      <c r="J22" s="22">
        <v>0</v>
      </c>
      <c r="K22" s="3">
        <v>0.68871237500000004</v>
      </c>
      <c r="L22" s="3">
        <v>0</v>
      </c>
      <c r="M22" s="3">
        <v>0.31205554166666599</v>
      </c>
      <c r="N22" s="3">
        <v>0</v>
      </c>
      <c r="O22" s="3">
        <v>0.42624595833333301</v>
      </c>
      <c r="P22" s="3">
        <v>0</v>
      </c>
      <c r="Q22" s="3">
        <v>1.3888837500000001E-2</v>
      </c>
      <c r="R22" s="3">
        <v>0</v>
      </c>
      <c r="S22" s="3">
        <v>1.100629375E-2</v>
      </c>
      <c r="T22" s="3">
        <v>0</v>
      </c>
      <c r="U22" s="3">
        <v>1.36197041666666E-2</v>
      </c>
      <c r="V22">
        <v>0</v>
      </c>
    </row>
    <row r="23" spans="1:22" ht="18" x14ac:dyDescent="0.2">
      <c r="A23" s="1"/>
      <c r="B23" s="11" t="s">
        <v>9</v>
      </c>
      <c r="C23" s="11" t="s">
        <v>3</v>
      </c>
      <c r="D23" s="11">
        <v>68.06</v>
      </c>
      <c r="E23" s="15">
        <v>32068091</v>
      </c>
      <c r="F23" s="16">
        <f>(E23-E22)/E22</f>
        <v>4.5162439873101187E-2</v>
      </c>
      <c r="G23" s="18">
        <v>17.61</v>
      </c>
      <c r="H23" s="18">
        <f>(G23-G22)/G22</f>
        <v>3.5731992956181029E-3</v>
      </c>
      <c r="I23" s="20">
        <v>98396323</v>
      </c>
      <c r="J23" s="22">
        <f>(I23-I22)/I22</f>
        <v>1.215113297786711E-2</v>
      </c>
      <c r="K23" s="3">
        <v>0.68217737499999997</v>
      </c>
      <c r="L23" s="3">
        <f>(K23-K22)/K22</f>
        <v>-9.4887216161900212E-3</v>
      </c>
      <c r="M23" s="3">
        <v>0.30842204166666598</v>
      </c>
      <c r="N23" s="3">
        <f>(M23-M22)/M22</f>
        <v>-1.1643760532480058E-2</v>
      </c>
      <c r="O23" s="3">
        <v>0.42152020833333298</v>
      </c>
      <c r="P23" s="3">
        <f>(O23-O22)/O22</f>
        <v>-1.1086908644197386E-2</v>
      </c>
      <c r="Q23" s="3">
        <v>1.4099812499999901E-2</v>
      </c>
      <c r="R23" s="3">
        <f t="shared" si="1"/>
        <v>1.5190256203940738E-2</v>
      </c>
      <c r="S23" s="3">
        <v>1.1232633333333301E-2</v>
      </c>
      <c r="T23" s="3">
        <f>(S23-S22)/S22</f>
        <v>2.0564559557871225E-2</v>
      </c>
      <c r="U23" s="3">
        <v>1.3810208333333299E-2</v>
      </c>
      <c r="V23">
        <f>(U23-U22)/U22</f>
        <v>1.398739387694971E-2</v>
      </c>
    </row>
    <row r="24" spans="1:22" ht="18" x14ac:dyDescent="0.2">
      <c r="A24" s="1"/>
      <c r="B24" s="11" t="s">
        <v>9</v>
      </c>
      <c r="C24" s="11" t="s">
        <v>4</v>
      </c>
      <c r="D24" s="12">
        <v>76.22</v>
      </c>
      <c r="E24" s="16">
        <v>33476577</v>
      </c>
      <c r="F24" s="16">
        <f>(E24-E22)/E22</f>
        <v>9.1067781238357529E-2</v>
      </c>
      <c r="G24" s="18">
        <v>17.5871</v>
      </c>
      <c r="H24" s="18">
        <f>(G24-G22)/G22</f>
        <v>2.2681552147623633E-3</v>
      </c>
      <c r="I24" s="20">
        <v>98823812</v>
      </c>
      <c r="J24" s="22">
        <f>(I24-I22)/I22</f>
        <v>1.6548487091247704E-2</v>
      </c>
      <c r="K24" s="3">
        <v>0.67795770833333302</v>
      </c>
      <c r="L24" s="3">
        <f>(K24-K22)/K22</f>
        <v>-1.561561408950583E-2</v>
      </c>
      <c r="M24" s="3">
        <v>0.30820516666666598</v>
      </c>
      <c r="N24" s="3">
        <f>(M24-M22)/M22</f>
        <v>-1.2338748991398914E-2</v>
      </c>
      <c r="O24" s="3">
        <v>0.419894833333333</v>
      </c>
      <c r="P24" s="3">
        <f>(O24-O22)/O22</f>
        <v>-1.4900141281887075E-2</v>
      </c>
      <c r="Q24" s="3">
        <v>1.42183874999999E-2</v>
      </c>
      <c r="R24" s="3">
        <f>(Q24-Q22)/Q22</f>
        <v>2.3727687792437561E-2</v>
      </c>
      <c r="S24" s="3">
        <v>1.1183129166666601E-2</v>
      </c>
      <c r="T24" s="3">
        <f>(S24-S22)/S22</f>
        <v>1.6066754230196763E-2</v>
      </c>
      <c r="U24" s="3">
        <v>1.38544666666666E-2</v>
      </c>
      <c r="V24">
        <f>(U24-U22)/U22</f>
        <v>1.7236974983242746E-2</v>
      </c>
    </row>
    <row r="25" spans="1:22" ht="18" x14ac:dyDescent="0.2">
      <c r="A25" s="1"/>
      <c r="B25" s="11" t="s">
        <v>9</v>
      </c>
      <c r="C25" s="11" t="s">
        <v>5</v>
      </c>
      <c r="D25" s="11">
        <v>88.84</v>
      </c>
      <c r="E25" s="16">
        <v>35477653</v>
      </c>
      <c r="F25" s="16">
        <f>(E25-E22)/E22</f>
        <v>0.15628680143296486</v>
      </c>
      <c r="G25" s="18">
        <v>17.6038</v>
      </c>
      <c r="H25" s="18">
        <f>(G25-G22)/G22</f>
        <v>3.2198685837707096E-3</v>
      </c>
      <c r="I25" s="20">
        <v>98921991</v>
      </c>
      <c r="J25" s="22">
        <f>(I25-I22)/I22</f>
        <v>1.7558402737024772E-2</v>
      </c>
      <c r="K25" s="3">
        <v>0.67445329166666601</v>
      </c>
      <c r="L25" s="3">
        <f>(K25-K22)/K22</f>
        <v>-2.0703974330843165E-2</v>
      </c>
      <c r="M25" s="3">
        <v>0.30859049999999999</v>
      </c>
      <c r="N25" s="3">
        <f>(M25-M22)/M22</f>
        <v>-1.1103926077260049E-2</v>
      </c>
      <c r="O25" s="3">
        <v>0.419018</v>
      </c>
      <c r="P25" s="3">
        <f>(O25-O22)/O22</f>
        <v>-1.6957247786219702E-2</v>
      </c>
      <c r="Q25" s="3">
        <v>1.45703166666666E-2</v>
      </c>
      <c r="R25" s="3">
        <f>(Q25-Q22)/Q22</f>
        <v>4.9066681546716874E-2</v>
      </c>
      <c r="S25" s="3">
        <v>1.12636083333333E-2</v>
      </c>
      <c r="T25" s="3">
        <f>(S25-S22)/S22</f>
        <v>2.3378858422100527E-2</v>
      </c>
      <c r="U25" s="3">
        <v>1.4098445833333299E-2</v>
      </c>
      <c r="V25">
        <f>(U25-U22)/U22</f>
        <v>3.5150665595100807E-2</v>
      </c>
    </row>
    <row r="26" spans="1:22" x14ac:dyDescent="0.2">
      <c r="A26" s="1"/>
      <c r="B26" s="11" t="s">
        <v>9</v>
      </c>
      <c r="C26" s="11" t="s">
        <v>24</v>
      </c>
      <c r="D26" s="14">
        <v>65.209999999999994</v>
      </c>
      <c r="E26" s="3">
        <v>39183197</v>
      </c>
      <c r="F26" s="3">
        <f>(E26-E22)/E22</f>
        <v>0.27705780111913675</v>
      </c>
      <c r="G26" s="3">
        <v>18.616599999999998</v>
      </c>
      <c r="H26" s="18">
        <f>(G26-G22)/G22</f>
        <v>6.093815002877926E-2</v>
      </c>
      <c r="I26" s="21">
        <v>98441639</v>
      </c>
      <c r="J26" s="22">
        <f t="shared" ref="J26:J46" si="7">(I26-I22)/I22</f>
        <v>1.2617274794386259E-2</v>
      </c>
      <c r="K26" s="3">
        <v>0.68124820833333299</v>
      </c>
      <c r="L26" s="3">
        <f>(K26-K22)/K22</f>
        <v>-1.0837857627673742E-2</v>
      </c>
      <c r="M26" s="3">
        <v>0.30036920833333303</v>
      </c>
      <c r="N26" s="3">
        <f>(M26-M22)/M22</f>
        <v>-3.7449529884702917E-2</v>
      </c>
      <c r="O26" s="3">
        <v>0.41495374999999901</v>
      </c>
      <c r="P26" s="3">
        <f>(O26-O22)/O22</f>
        <v>-2.6492235556878314E-2</v>
      </c>
      <c r="Q26" s="3">
        <v>1.3650883333333299E-2</v>
      </c>
      <c r="R26" s="3">
        <f>(Q26-Q22)/Q22</f>
        <v>-1.713276339122706E-2</v>
      </c>
      <c r="S26" s="3">
        <v>1.135915E-2</v>
      </c>
      <c r="T26" s="3">
        <f>(S26-S22)/S22</f>
        <v>3.2059497775988419E-2</v>
      </c>
      <c r="U26" s="3">
        <v>1.35342374999999E-2</v>
      </c>
      <c r="V26">
        <f>(U26-U22)/U22</f>
        <v>-6.2752219593634646E-3</v>
      </c>
    </row>
    <row r="27" spans="1:22" ht="18" x14ac:dyDescent="0.2">
      <c r="A27" s="1"/>
      <c r="B27" s="11" t="s">
        <v>10</v>
      </c>
      <c r="C27" s="11" t="s">
        <v>26</v>
      </c>
      <c r="D27" s="11">
        <v>95.96</v>
      </c>
      <c r="E27" s="15">
        <v>60259276</v>
      </c>
      <c r="F27" s="15">
        <v>0</v>
      </c>
      <c r="G27" s="18">
        <v>17.192599999999999</v>
      </c>
      <c r="H27" s="18">
        <v>0</v>
      </c>
      <c r="I27" s="20">
        <v>271476674</v>
      </c>
      <c r="J27" s="22">
        <v>0</v>
      </c>
      <c r="K27" s="3">
        <v>0.30968870833333301</v>
      </c>
      <c r="L27" s="3">
        <v>0</v>
      </c>
      <c r="M27" s="3">
        <v>0.180703541666666</v>
      </c>
      <c r="N27" s="3">
        <v>0</v>
      </c>
      <c r="O27" s="3">
        <v>0.17820508333333299</v>
      </c>
      <c r="P27" s="3">
        <v>0</v>
      </c>
      <c r="Q27" s="3">
        <v>2.9860666666666601E-3</v>
      </c>
      <c r="R27" s="3">
        <v>0</v>
      </c>
      <c r="S27" s="3">
        <v>2.0783087500000001E-3</v>
      </c>
      <c r="T27" s="3">
        <v>0</v>
      </c>
      <c r="U27" s="3">
        <v>2.0341034166666602E-3</v>
      </c>
      <c r="V27">
        <v>0</v>
      </c>
    </row>
    <row r="28" spans="1:22" ht="18" x14ac:dyDescent="0.2">
      <c r="A28" s="1"/>
      <c r="B28" s="11" t="s">
        <v>10</v>
      </c>
      <c r="C28" s="11" t="s">
        <v>3</v>
      </c>
      <c r="D28" s="12">
        <v>97</v>
      </c>
      <c r="E28" s="15">
        <v>60622455</v>
      </c>
      <c r="F28" s="15">
        <f>(E28-E27)/E27</f>
        <v>6.0269393213419958E-3</v>
      </c>
      <c r="G28" s="18">
        <v>17.1938</v>
      </c>
      <c r="H28" s="18">
        <f>(G28-G27)/G27</f>
        <v>6.9797471005011234E-5</v>
      </c>
      <c r="I28" s="20">
        <v>271392438</v>
      </c>
      <c r="J28" s="22">
        <f>(I28-I27)/I27</f>
        <v>-3.1028816862549305E-4</v>
      </c>
      <c r="K28" s="3">
        <v>0.310016666666666</v>
      </c>
      <c r="L28" s="3">
        <f>(K28-K27)/K27</f>
        <v>1.0589935135122586E-3</v>
      </c>
      <c r="M28" s="3">
        <v>0.18109645833333299</v>
      </c>
      <c r="N28" s="3">
        <f>(M28-M27)/M27</f>
        <v>2.1743716976603844E-3</v>
      </c>
      <c r="O28" s="3">
        <v>0.178535375</v>
      </c>
      <c r="P28" s="3">
        <f>(O28-O27)/O27</f>
        <v>1.8534357184929369E-3</v>
      </c>
      <c r="Q28" s="3">
        <v>2.9792479166666601E-3</v>
      </c>
      <c r="R28" s="3">
        <f>(Q28-Q27)/Q27</f>
        <v>-2.2835223594025815E-3</v>
      </c>
      <c r="S28" s="3">
        <v>2.07801666666666E-3</v>
      </c>
      <c r="T28" s="3">
        <f>(S28-S27)/S27</f>
        <v>-1.4053895184729193E-4</v>
      </c>
      <c r="U28" s="3">
        <v>2.030231E-3</v>
      </c>
      <c r="V28">
        <f>(U28-U27)/U27</f>
        <v>-1.9037462082463956E-3</v>
      </c>
    </row>
    <row r="29" spans="1:22" ht="18" x14ac:dyDescent="0.2">
      <c r="A29" s="1"/>
      <c r="B29" s="11" t="s">
        <v>10</v>
      </c>
      <c r="C29" s="11" t="s">
        <v>4</v>
      </c>
      <c r="D29" s="11">
        <v>95.96</v>
      </c>
      <c r="E29" s="15">
        <v>60259833</v>
      </c>
      <c r="F29" s="15">
        <f>(E29-E27)/E27</f>
        <v>9.2433901794638229E-6</v>
      </c>
      <c r="G29" s="18">
        <v>17.192599999999999</v>
      </c>
      <c r="H29" s="18">
        <f>(G29-G27)/G27</f>
        <v>0</v>
      </c>
      <c r="I29" s="20">
        <v>271477870</v>
      </c>
      <c r="J29" s="22">
        <f>(I29-I27)/I27</f>
        <v>4.4055350405537974E-6</v>
      </c>
      <c r="K29" s="3">
        <v>0.31011195833333299</v>
      </c>
      <c r="L29" s="3">
        <f>(K29-K27)/K27</f>
        <v>1.3666949701776714E-3</v>
      </c>
      <c r="M29" s="3">
        <v>0.181082624999999</v>
      </c>
      <c r="N29" s="3">
        <f>(M29-M27)/M27</f>
        <v>2.0978190567635733E-3</v>
      </c>
      <c r="O29" s="3">
        <v>0.17858054166666601</v>
      </c>
      <c r="P29" s="3">
        <f>(O29-O27)/O27</f>
        <v>2.1068890197185196E-3</v>
      </c>
      <c r="Q29" s="3">
        <v>2.9610904166666599E-3</v>
      </c>
      <c r="R29" s="3">
        <f>(Q29-Q27)/Q27</f>
        <v>-8.3642640262553622E-3</v>
      </c>
      <c r="S29" s="3">
        <v>2.0577258333333301E-3</v>
      </c>
      <c r="T29" s="3">
        <f>(S29-S27)/S27</f>
        <v>-9.9036857091950262E-3</v>
      </c>
      <c r="U29" s="3">
        <v>2.0177575416666601E-3</v>
      </c>
      <c r="V29">
        <f>(U29-U27)/U27</f>
        <v>-8.0359114812296375E-3</v>
      </c>
    </row>
    <row r="30" spans="1:22" ht="18" x14ac:dyDescent="0.2">
      <c r="A30" s="1"/>
      <c r="B30" s="11" t="s">
        <v>10</v>
      </c>
      <c r="C30" s="11" t="s">
        <v>5</v>
      </c>
      <c r="D30" s="12">
        <v>99.59</v>
      </c>
      <c r="E30" s="15">
        <v>60219390</v>
      </c>
      <c r="F30" s="15">
        <f>(E30-E27)/E27</f>
        <v>-6.6190639263571634E-4</v>
      </c>
      <c r="G30" s="7">
        <v>17.197900000000001</v>
      </c>
      <c r="H30" s="18">
        <f>(G30-G27)/G27</f>
        <v>3.0827216360538017E-4</v>
      </c>
      <c r="I30" s="20">
        <v>271307123</v>
      </c>
      <c r="J30" s="22">
        <f>(I30-I27)/I27</f>
        <v>-6.2455089603757267E-4</v>
      </c>
      <c r="K30" s="3">
        <v>0.30979125000000002</v>
      </c>
      <c r="L30" s="3">
        <f>(K30-K27)/K27</f>
        <v>3.3111206158876268E-4</v>
      </c>
      <c r="M30" s="3">
        <v>0.18111866666666601</v>
      </c>
      <c r="N30" s="3">
        <f>(M30-M27)/M27</f>
        <v>2.2972709675263296E-3</v>
      </c>
      <c r="O30" s="3">
        <v>0.17844533333333301</v>
      </c>
      <c r="P30" s="3">
        <f>(O30-O27)/O27</f>
        <v>1.3481658070922536E-3</v>
      </c>
      <c r="Q30" s="3">
        <v>2.9967720833333298E-3</v>
      </c>
      <c r="R30" s="3">
        <f>(Q30-Q27)/Q27</f>
        <v>3.5851231274149995E-3</v>
      </c>
      <c r="S30" s="3">
        <v>2.1011870833333298E-3</v>
      </c>
      <c r="T30" s="3">
        <f>(S30-S27)/S27</f>
        <v>1.1008149454853488E-2</v>
      </c>
      <c r="U30" s="3">
        <v>2.0471558750000001E-3</v>
      </c>
      <c r="V30">
        <f>(U30-U27)/U27</f>
        <v>6.416811567392865E-3</v>
      </c>
    </row>
    <row r="31" spans="1:22" x14ac:dyDescent="0.2">
      <c r="A31" s="1"/>
      <c r="B31" s="11" t="s">
        <v>10</v>
      </c>
      <c r="C31" s="11" t="s">
        <v>24</v>
      </c>
      <c r="D31" s="14">
        <v>99</v>
      </c>
      <c r="E31" s="3">
        <v>66621589</v>
      </c>
      <c r="F31" s="3">
        <f>(E31-E27)/E27</f>
        <v>0.10558230072329446</v>
      </c>
      <c r="G31" s="3">
        <v>17.614000000000001</v>
      </c>
      <c r="H31" s="18">
        <f>(G31-G27)/G27</f>
        <v>2.4510545234577786E-2</v>
      </c>
      <c r="I31" s="21">
        <v>274277663</v>
      </c>
      <c r="J31" s="22">
        <f t="shared" si="7"/>
        <v>1.0317604671994766E-2</v>
      </c>
      <c r="K31" s="3">
        <v>0.30598183333333301</v>
      </c>
      <c r="L31" s="3">
        <f>(K31-K27)/K27</f>
        <v>-1.1969680844837613E-2</v>
      </c>
      <c r="M31" s="3">
        <v>0.177361041666666</v>
      </c>
      <c r="N31" s="3">
        <f>(M31-M27)/M27</f>
        <v>-1.849714714593545E-2</v>
      </c>
      <c r="O31" s="3">
        <v>0.17513516666666601</v>
      </c>
      <c r="P31" s="3">
        <f>(O31-O27)/O27</f>
        <v>-1.7226874841301199E-2</v>
      </c>
      <c r="Q31" s="3">
        <v>2.9914295833333299E-3</v>
      </c>
      <c r="R31" s="3">
        <f>(Q31-Q27)/Q27</f>
        <v>1.7959802192415017E-3</v>
      </c>
      <c r="S31" s="3">
        <v>2.1076749999999899E-3</v>
      </c>
      <c r="T31" s="3">
        <f>(S31-S27)/S27</f>
        <v>1.4129878440818644E-2</v>
      </c>
      <c r="U31" s="3">
        <v>2.04372775E-3</v>
      </c>
      <c r="V31">
        <f>(U31-U27)/U27</f>
        <v>4.7314867348836635E-3</v>
      </c>
    </row>
    <row r="32" spans="1:22" ht="18" x14ac:dyDescent="0.2">
      <c r="A32" s="1"/>
      <c r="B32" s="11" t="s">
        <v>11</v>
      </c>
      <c r="C32" s="11" t="s">
        <v>26</v>
      </c>
      <c r="D32" s="12">
        <v>99.24</v>
      </c>
      <c r="E32" s="15">
        <v>69955892</v>
      </c>
      <c r="F32" s="15">
        <v>0</v>
      </c>
      <c r="G32" s="18">
        <v>15.643599999999999</v>
      </c>
      <c r="H32" s="18">
        <v>0</v>
      </c>
      <c r="I32" s="20">
        <v>445818789</v>
      </c>
      <c r="J32" s="22">
        <v>0</v>
      </c>
      <c r="K32" s="3">
        <v>0.199703458333333</v>
      </c>
      <c r="L32" s="3">
        <v>0</v>
      </c>
      <c r="M32" s="3">
        <v>0.137184029166666</v>
      </c>
      <c r="N32" s="3">
        <v>0</v>
      </c>
      <c r="O32" s="3">
        <v>0.117901774999999</v>
      </c>
      <c r="P32" s="3">
        <v>0</v>
      </c>
      <c r="Q32" s="3">
        <v>1.0516688749999999E-3</v>
      </c>
      <c r="R32" s="3">
        <v>0</v>
      </c>
      <c r="S32" s="3">
        <v>7.4515770833333305E-4</v>
      </c>
      <c r="T32" s="3">
        <v>0</v>
      </c>
      <c r="U32" s="3">
        <v>8.1045491666666602E-4</v>
      </c>
      <c r="V32">
        <v>0</v>
      </c>
    </row>
    <row r="33" spans="1:22" ht="18" x14ac:dyDescent="0.2">
      <c r="A33" s="1"/>
      <c r="B33" s="11" t="s">
        <v>11</v>
      </c>
      <c r="C33" s="11" t="s">
        <v>3</v>
      </c>
      <c r="D33" s="12">
        <v>99.39</v>
      </c>
      <c r="E33" s="15">
        <v>69949079</v>
      </c>
      <c r="F33" s="15">
        <f>(E33-E32)/E32</f>
        <v>-9.738993821992864E-5</v>
      </c>
      <c r="G33" s="18">
        <v>15.643700000000001</v>
      </c>
      <c r="H33" s="18">
        <f>(G33-G32)/G32</f>
        <v>6.3923904984494171E-6</v>
      </c>
      <c r="I33" s="20">
        <v>445760169</v>
      </c>
      <c r="J33" s="22">
        <f>(I33-I32)/I32</f>
        <v>-1.3148840166985425E-4</v>
      </c>
      <c r="K33" s="3">
        <v>0.199998541666666</v>
      </c>
      <c r="L33" s="3">
        <f>(K33-K32)/K32</f>
        <v>1.4776075276596676E-3</v>
      </c>
      <c r="M33" s="3">
        <v>0.13742407500000001</v>
      </c>
      <c r="N33" s="3">
        <f>(M33-M32)/M32</f>
        <v>1.7498088865896594E-3</v>
      </c>
      <c r="O33" s="3">
        <v>0.118104679166666</v>
      </c>
      <c r="P33" s="3">
        <f>(O33-O32)/O32</f>
        <v>1.7209593890083938E-3</v>
      </c>
      <c r="Q33" s="3">
        <v>1.0448917500000001E-3</v>
      </c>
      <c r="R33" s="3">
        <f>(Q33-Q32)/Q32</f>
        <v>-6.4441623795321E-3</v>
      </c>
      <c r="S33" s="3">
        <v>7.3977583333333303E-4</v>
      </c>
      <c r="T33" s="3">
        <f>(S33-S32)/S32</f>
        <v>-7.2224643720555006E-3</v>
      </c>
      <c r="U33" s="3">
        <v>8.0654445833333295E-4</v>
      </c>
      <c r="V33">
        <f>(U33-U32)/U32</f>
        <v>-4.8250164850828035E-3</v>
      </c>
    </row>
    <row r="34" spans="1:22" ht="18" x14ac:dyDescent="0.2">
      <c r="A34" s="1"/>
      <c r="B34" s="11" t="s">
        <v>11</v>
      </c>
      <c r="C34" s="11" t="s">
        <v>4</v>
      </c>
      <c r="D34" s="12">
        <v>99.24</v>
      </c>
      <c r="E34" s="15">
        <v>69955871</v>
      </c>
      <c r="F34" s="15">
        <f>(E34-E32)/E32</f>
        <v>-3.0018915347402048E-7</v>
      </c>
      <c r="G34" s="18">
        <v>15.643599999999999</v>
      </c>
      <c r="H34" s="18">
        <f>(G34-G32)/G32</f>
        <v>0</v>
      </c>
      <c r="I34" s="20">
        <v>445817879</v>
      </c>
      <c r="J34" s="22">
        <f>(I34-I32)/I32</f>
        <v>-2.04118808460538E-6</v>
      </c>
      <c r="K34" s="3">
        <v>0.200023125</v>
      </c>
      <c r="L34" s="3">
        <f>(K34-K32)/K32</f>
        <v>1.6007067145198219E-3</v>
      </c>
      <c r="M34" s="3">
        <v>0.137440995833333</v>
      </c>
      <c r="N34" s="3">
        <f>(M34-M32)/M32</f>
        <v>1.8731529335299362E-3</v>
      </c>
      <c r="O34" s="3">
        <v>0.118130916666666</v>
      </c>
      <c r="P34" s="3">
        <f>(O34-O32)/O32</f>
        <v>1.9434963270655041E-3</v>
      </c>
      <c r="Q34" s="3">
        <v>1.0435595833333301E-3</v>
      </c>
      <c r="R34" s="3">
        <f>(Q34-Q32)/Q32</f>
        <v>-7.7108792124991185E-3</v>
      </c>
      <c r="S34" s="3">
        <v>7.3833908333333304E-4</v>
      </c>
      <c r="T34" s="3">
        <f>(S34-S32)/S32</f>
        <v>-9.1505797011091523E-3</v>
      </c>
      <c r="U34" s="3">
        <v>8.0523108333333297E-4</v>
      </c>
      <c r="V34">
        <f>(U34-U32)/U32</f>
        <v>-6.4455569654858188E-3</v>
      </c>
    </row>
    <row r="35" spans="1:22" ht="18" x14ac:dyDescent="0.2">
      <c r="A35" s="1"/>
      <c r="B35" s="11" t="s">
        <v>11</v>
      </c>
      <c r="C35" s="11" t="s">
        <v>5</v>
      </c>
      <c r="D35" s="12">
        <v>99.69</v>
      </c>
      <c r="E35" s="15">
        <v>69984573</v>
      </c>
      <c r="F35" s="15">
        <f>(E35-E32)/E32</f>
        <v>4.0998691003754195E-4</v>
      </c>
      <c r="G35" s="7">
        <v>15.6455</v>
      </c>
      <c r="H35" s="18">
        <f>(G35-G32)/G32</f>
        <v>1.2145541946872209E-4</v>
      </c>
      <c r="I35" s="20">
        <v>445699625</v>
      </c>
      <c r="J35" s="22">
        <f>(I35-I32)/I32</f>
        <v>-2.6729245814715989E-4</v>
      </c>
      <c r="K35" s="3">
        <v>0.19989570833333301</v>
      </c>
      <c r="L35" s="3">
        <f>(K35-K32)/K32</f>
        <v>9.626773697584785E-4</v>
      </c>
      <c r="M35" s="3">
        <v>0.13737699583333299</v>
      </c>
      <c r="N35" s="3">
        <f>(M35-M32)/M32</f>
        <v>1.4066263240639439E-3</v>
      </c>
      <c r="O35" s="3">
        <v>0.118028220833333</v>
      </c>
      <c r="P35" s="3">
        <f>(O35-O32)/O32</f>
        <v>1.0724675971502797E-3</v>
      </c>
      <c r="Q35" s="3">
        <v>1.0475462916666599E-3</v>
      </c>
      <c r="R35" s="3">
        <f>(Q35-Q32)/Q32</f>
        <v>-3.9200393121266728E-3</v>
      </c>
      <c r="S35" s="3">
        <v>7.4153449999999905E-4</v>
      </c>
      <c r="T35" s="3">
        <f>(S35-S32)/S32</f>
        <v>-4.8623375868148714E-3</v>
      </c>
      <c r="U35" s="3">
        <v>8.0776274999999999E-4</v>
      </c>
      <c r="V35">
        <f>(U35-U32)/U32</f>
        <v>-3.3217969455212751E-3</v>
      </c>
    </row>
    <row r="36" spans="1:22" x14ac:dyDescent="0.2">
      <c r="A36" s="1"/>
      <c r="B36" s="11" t="s">
        <v>11</v>
      </c>
      <c r="C36" s="11" t="s">
        <v>24</v>
      </c>
      <c r="D36" s="14">
        <v>99.25</v>
      </c>
      <c r="E36" s="3">
        <v>70948199</v>
      </c>
      <c r="F36" s="3">
        <f>(E36-E32)/E32</f>
        <v>1.4184752300778324E-2</v>
      </c>
      <c r="G36" s="3">
        <v>15.696400000000001</v>
      </c>
      <c r="H36" s="18">
        <f t="shared" ref="H36:H91" si="8">(G36-G32)/G32</f>
        <v>3.3751821831292856E-3</v>
      </c>
      <c r="I36" s="21">
        <v>447234284</v>
      </c>
      <c r="J36" s="22">
        <f t="shared" si="7"/>
        <v>3.1750456349653759E-3</v>
      </c>
      <c r="K36" s="3">
        <v>0.198758875</v>
      </c>
      <c r="L36" s="3">
        <f>(K36-K32)/K32</f>
        <v>-4.7299297729554452E-3</v>
      </c>
      <c r="M36" s="3">
        <v>0.13640780833333299</v>
      </c>
      <c r="N36" s="3">
        <f>(M36-M32)/M32</f>
        <v>-5.6582448995573008E-3</v>
      </c>
      <c r="O36" s="3">
        <v>0.11706965</v>
      </c>
      <c r="P36" s="3">
        <f>(O36-O32)/O32</f>
        <v>-7.0577817848714395E-3</v>
      </c>
      <c r="Q36" s="3">
        <v>9.2232524999999997E-4</v>
      </c>
      <c r="R36" s="3">
        <f>(Q36-Q32)/Q32</f>
        <v>-0.12298892557792963</v>
      </c>
      <c r="S36" s="3">
        <v>6.6215266666666604E-4</v>
      </c>
      <c r="T36" s="3">
        <f>(S36-S32)/S32</f>
        <v>-0.11139258272228217</v>
      </c>
      <c r="U36" s="3">
        <v>7.0576995833333302E-4</v>
      </c>
      <c r="V36">
        <f>(U36-U32)/U32</f>
        <v>-0.12916814517443312</v>
      </c>
    </row>
    <row r="37" spans="1:22" ht="18" x14ac:dyDescent="0.2">
      <c r="A37" s="1"/>
      <c r="B37" s="11" t="s">
        <v>12</v>
      </c>
      <c r="C37" s="11" t="s">
        <v>26</v>
      </c>
      <c r="D37" s="12">
        <v>97.48</v>
      </c>
      <c r="E37" s="16">
        <v>144498812</v>
      </c>
      <c r="F37" s="16">
        <v>0</v>
      </c>
      <c r="G37" s="18">
        <v>25.785399999999999</v>
      </c>
      <c r="H37" s="18">
        <v>0</v>
      </c>
      <c r="I37" s="20">
        <v>257507370</v>
      </c>
      <c r="J37" s="22">
        <v>0</v>
      </c>
      <c r="K37" s="3">
        <v>0.31712395833333301</v>
      </c>
      <c r="L37" s="3">
        <v>0</v>
      </c>
      <c r="M37" s="3">
        <v>0.17562123333333299</v>
      </c>
      <c r="N37" s="3">
        <v>0</v>
      </c>
      <c r="O37" s="3">
        <v>0.17670866666666599</v>
      </c>
      <c r="P37" s="3">
        <v>0</v>
      </c>
      <c r="Q37" s="3">
        <v>3.0681991666666598E-3</v>
      </c>
      <c r="R37" s="3">
        <v>0</v>
      </c>
      <c r="S37" s="3">
        <v>2.3512054166666598E-3</v>
      </c>
      <c r="T37" s="3">
        <v>0</v>
      </c>
      <c r="U37" s="3">
        <v>2.0304579166666599E-3</v>
      </c>
      <c r="V37">
        <v>0</v>
      </c>
    </row>
    <row r="38" spans="1:22" ht="18" x14ac:dyDescent="0.2">
      <c r="A38" s="1"/>
      <c r="B38" s="11" t="s">
        <v>12</v>
      </c>
      <c r="C38" s="11" t="s">
        <v>3</v>
      </c>
      <c r="D38" s="12">
        <v>98.05</v>
      </c>
      <c r="E38" s="15">
        <v>144322849</v>
      </c>
      <c r="F38" s="15">
        <f>(E38-E37)/E37</f>
        <v>-1.2177470358718243E-3</v>
      </c>
      <c r="G38" s="18">
        <v>25.7972</v>
      </c>
      <c r="H38" s="18">
        <f>(G38-G37)/G37</f>
        <v>4.576233062120782E-4</v>
      </c>
      <c r="I38" s="20">
        <v>257275123</v>
      </c>
      <c r="J38" s="22">
        <f>(I38-I37)/I37</f>
        <v>-9.0190428336089955E-4</v>
      </c>
      <c r="K38" s="3">
        <v>0.31712324999999902</v>
      </c>
      <c r="L38" s="3">
        <f>(K38-K37)/K37</f>
        <v>-2.2336165886366619E-6</v>
      </c>
      <c r="M38" s="3">
        <v>0.17595526249999999</v>
      </c>
      <c r="N38" s="3">
        <f>(M38-M37)/M37</f>
        <v>1.9019862252817941E-3</v>
      </c>
      <c r="O38" s="3">
        <v>0.176861291666666</v>
      </c>
      <c r="P38" s="3">
        <f>(O38-O37)/O37</f>
        <v>8.6370975956669496E-4</v>
      </c>
      <c r="Q38" s="3">
        <v>3.0635758333333301E-3</v>
      </c>
      <c r="R38" s="3">
        <f>(Q38-Q37)/Q37</f>
        <v>-1.5068556772840113E-3</v>
      </c>
      <c r="S38" s="3">
        <v>2.35766541666666E-3</v>
      </c>
      <c r="T38" s="3">
        <f>(S38-S37)/S37</f>
        <v>2.7475268448295233E-3</v>
      </c>
      <c r="U38" s="3">
        <v>2.0281366666666601E-3</v>
      </c>
      <c r="V38">
        <f>(U38-U37)/U37</f>
        <v>-1.1432150260029029E-3</v>
      </c>
    </row>
    <row r="39" spans="1:22" ht="18" x14ac:dyDescent="0.2">
      <c r="A39" s="1"/>
      <c r="B39" s="11" t="s">
        <v>12</v>
      </c>
      <c r="C39" s="11" t="s">
        <v>4</v>
      </c>
      <c r="D39" s="12">
        <v>98.51</v>
      </c>
      <c r="E39" s="15">
        <v>144228868</v>
      </c>
      <c r="F39" s="15">
        <f>(E39-E37)/E37</f>
        <v>-1.8681399262991864E-3</v>
      </c>
      <c r="G39" s="3">
        <v>25.805599999999998</v>
      </c>
      <c r="H39" s="18">
        <f>(G39-G37)/G37</f>
        <v>7.8338904961719068E-4</v>
      </c>
      <c r="I39" s="20">
        <v>257130944</v>
      </c>
      <c r="J39" s="22">
        <f>(I39-I37)/I37</f>
        <v>-1.4618067047945074E-3</v>
      </c>
      <c r="K39" s="3">
        <v>0.31706895833333298</v>
      </c>
      <c r="L39" s="3">
        <f>(K39-K37)/K37</f>
        <v>-1.7343375848700795E-4</v>
      </c>
      <c r="M39" s="3">
        <v>0.175935383333333</v>
      </c>
      <c r="N39" s="3">
        <f>(M39-M37)/M37</f>
        <v>1.7887928130179418E-3</v>
      </c>
      <c r="O39" s="3">
        <v>0.176854125</v>
      </c>
      <c r="P39" s="3">
        <f>(O39-O37)/O37</f>
        <v>8.2315336354384517E-4</v>
      </c>
      <c r="Q39" s="3">
        <v>3.0692024999999898E-3</v>
      </c>
      <c r="R39" s="3">
        <f>(Q39-Q37)/Q37</f>
        <v>3.2701049665560469E-4</v>
      </c>
      <c r="S39" s="3">
        <v>2.3655862500000001E-3</v>
      </c>
      <c r="T39" s="3">
        <f>(S39-S37)/S37</f>
        <v>6.1163661972709433E-3</v>
      </c>
      <c r="U39" s="3">
        <v>2.03536208333333E-3</v>
      </c>
      <c r="V39">
        <f>(U39-U37)/U37</f>
        <v>2.4153008178180255E-3</v>
      </c>
    </row>
    <row r="40" spans="1:22" ht="18" x14ac:dyDescent="0.2">
      <c r="A40" s="1"/>
      <c r="B40" s="11" t="s">
        <v>12</v>
      </c>
      <c r="C40" s="11" t="s">
        <v>5</v>
      </c>
      <c r="D40" s="12">
        <v>99.12</v>
      </c>
      <c r="E40" s="15">
        <v>144303847</v>
      </c>
      <c r="F40" s="15">
        <f>(E40-E37)/E37</f>
        <v>-1.3492498471198505E-3</v>
      </c>
      <c r="G40" s="3">
        <v>25.821999999999999</v>
      </c>
      <c r="H40" s="18">
        <f>(G40-G37)/G37</f>
        <v>1.4194078819797238E-3</v>
      </c>
      <c r="I40" s="21">
        <v>257034818</v>
      </c>
      <c r="J40" s="22">
        <f>(I40-I37)/I37</f>
        <v>-1.8351008749768988E-3</v>
      </c>
      <c r="K40" s="3">
        <v>0.31700537499999998</v>
      </c>
      <c r="L40" s="3">
        <f>(K40-K37)/K37</f>
        <v>-3.7393369443373573E-4</v>
      </c>
      <c r="M40" s="3">
        <v>0.17596729999999999</v>
      </c>
      <c r="N40" s="3">
        <f>(M40-M37)/M37</f>
        <v>1.9705286205920396E-3</v>
      </c>
      <c r="O40" s="3">
        <v>0.176846208333333</v>
      </c>
      <c r="P40" s="3">
        <f>(O40-O37)/O37</f>
        <v>7.7835269351259149E-4</v>
      </c>
      <c r="Q40" s="3">
        <v>3.0755574999999898E-3</v>
      </c>
      <c r="R40" s="3">
        <f>(Q40-Q37)/Q37</f>
        <v>2.398258044416385E-3</v>
      </c>
      <c r="S40" s="3">
        <v>2.37281958333333E-3</v>
      </c>
      <c r="T40" s="3">
        <f>(S40-S37)/S37</f>
        <v>9.1928023444726829E-3</v>
      </c>
      <c r="U40" s="3">
        <v>2.0390299999999998E-3</v>
      </c>
      <c r="V40">
        <f>(U40-U37)/U37</f>
        <v>4.2217488296494281E-3</v>
      </c>
    </row>
    <row r="41" spans="1:22" x14ac:dyDescent="0.2">
      <c r="A41" s="1"/>
      <c r="B41" s="11" t="s">
        <v>12</v>
      </c>
      <c r="C41" s="11" t="s">
        <v>24</v>
      </c>
      <c r="D41" s="14">
        <v>97.96</v>
      </c>
      <c r="E41" s="3">
        <v>168371604</v>
      </c>
      <c r="F41" s="3">
        <f>(E41-E37)/E37</f>
        <v>0.16521099149244217</v>
      </c>
      <c r="G41" s="3">
        <v>26.790199999999999</v>
      </c>
      <c r="H41" s="18">
        <f>(G41-G37)/G37</f>
        <v>3.8967787973038986E-2</v>
      </c>
      <c r="I41" s="21">
        <v>264035249</v>
      </c>
      <c r="J41" s="22">
        <f t="shared" si="7"/>
        <v>2.5350260848844831E-2</v>
      </c>
      <c r="K41" s="3">
        <v>0.30945529166666602</v>
      </c>
      <c r="L41" s="3">
        <f>(K41-K37)/K37</f>
        <v>-2.4181921501516948E-2</v>
      </c>
      <c r="M41" s="3">
        <v>0.168672470833333</v>
      </c>
      <c r="N41" s="3">
        <f>(M41-M37)/M37</f>
        <v>-3.9566756069928502E-2</v>
      </c>
      <c r="O41" s="3">
        <v>0.169153374999999</v>
      </c>
      <c r="P41" s="3">
        <f>(O41-O37)/O37</f>
        <v>-4.2755637339049697E-2</v>
      </c>
      <c r="Q41" s="3">
        <v>2.92101208333333E-3</v>
      </c>
      <c r="R41" s="3">
        <f>(Q41-Q37)/Q37</f>
        <v>-4.7971815171710709E-2</v>
      </c>
      <c r="S41" s="3">
        <v>2.2934066666666598E-3</v>
      </c>
      <c r="T41" s="3">
        <f>(S41-S37)/S37</f>
        <v>-2.4582603285229831E-2</v>
      </c>
      <c r="U41" s="3">
        <v>1.9596304166666599E-3</v>
      </c>
      <c r="V41">
        <f>(U41-U37)/U37</f>
        <v>-3.4882525473010226E-2</v>
      </c>
    </row>
    <row r="42" spans="1:22" ht="18" x14ac:dyDescent="0.2">
      <c r="A42" s="1"/>
      <c r="B42" s="13" t="s">
        <v>13</v>
      </c>
      <c r="C42" s="11" t="s">
        <v>26</v>
      </c>
      <c r="D42" s="12">
        <v>95.23</v>
      </c>
      <c r="E42" s="16">
        <v>103634131</v>
      </c>
      <c r="F42" s="16">
        <v>0</v>
      </c>
      <c r="G42" s="18">
        <v>16.714200000000002</v>
      </c>
      <c r="H42" s="18">
        <v>0</v>
      </c>
      <c r="I42" s="20">
        <v>272140939</v>
      </c>
      <c r="J42" s="22">
        <v>0</v>
      </c>
      <c r="K42" s="3">
        <v>0.30875383333333301</v>
      </c>
      <c r="L42" s="3">
        <v>0</v>
      </c>
      <c r="M42" s="3">
        <v>0.22497541666666601</v>
      </c>
      <c r="N42" s="3">
        <v>0</v>
      </c>
      <c r="O42" s="3">
        <v>0.20073091666666601</v>
      </c>
      <c r="P42" s="3">
        <v>0</v>
      </c>
      <c r="Q42" s="3">
        <v>4.8427449999999999E-3</v>
      </c>
      <c r="R42" s="3">
        <v>0</v>
      </c>
      <c r="S42" s="3">
        <v>3.0060220833333299E-3</v>
      </c>
      <c r="T42" s="3">
        <v>0</v>
      </c>
      <c r="U42" s="3">
        <v>3.5158633333333298E-3</v>
      </c>
      <c r="V42">
        <v>0</v>
      </c>
    </row>
    <row r="43" spans="1:22" ht="18" x14ac:dyDescent="0.2">
      <c r="A43" s="1"/>
      <c r="B43" s="13" t="s">
        <v>13</v>
      </c>
      <c r="C43" s="11" t="s">
        <v>3</v>
      </c>
      <c r="D43" s="12">
        <v>96.15</v>
      </c>
      <c r="E43" s="15">
        <v>103562483</v>
      </c>
      <c r="F43" s="15">
        <f>(E43-E42)/E42</f>
        <v>-6.9135524473110121E-4</v>
      </c>
      <c r="G43" s="18">
        <v>16.7149</v>
      </c>
      <c r="H43" s="18">
        <f>(G43-G42)/G42</f>
        <v>4.1880556652329664E-5</v>
      </c>
      <c r="I43" s="20">
        <v>272080301</v>
      </c>
      <c r="J43" s="22">
        <f>(I43-I42)/I42</f>
        <v>-2.2281836838962328E-4</v>
      </c>
      <c r="K43" s="3">
        <v>0.309334</v>
      </c>
      <c r="L43" s="3">
        <f>(K43-K42)/K42</f>
        <v>1.8790589914413794E-3</v>
      </c>
      <c r="M43" s="3">
        <v>0.22528562499999899</v>
      </c>
      <c r="N43" s="3">
        <f>(M43-M42)/M42</f>
        <v>1.3788543563077276E-3</v>
      </c>
      <c r="O43" s="3">
        <v>0.201067791666666</v>
      </c>
      <c r="P43" s="3">
        <f>(O43-O42)/O42</f>
        <v>1.678241725759672E-3</v>
      </c>
      <c r="Q43" s="3">
        <v>4.8270483333333301E-3</v>
      </c>
      <c r="R43" s="3">
        <f>(Q43-Q42)/Q42</f>
        <v>-3.2412746627521632E-3</v>
      </c>
      <c r="S43" s="3">
        <v>3.0137316666666602E-3</v>
      </c>
      <c r="T43" s="3">
        <f>(S43-S42)/S42</f>
        <v>2.5647128063614327E-3</v>
      </c>
      <c r="U43" s="3">
        <v>3.5137129166666601E-3</v>
      </c>
      <c r="V43">
        <f>(U43-U42)/U42</f>
        <v>-6.1163260991460436E-4</v>
      </c>
    </row>
    <row r="44" spans="1:22" ht="18" x14ac:dyDescent="0.2">
      <c r="A44" s="1"/>
      <c r="B44" s="13" t="s">
        <v>13</v>
      </c>
      <c r="C44" s="11" t="s">
        <v>4</v>
      </c>
      <c r="D44" s="11">
        <v>96.87</v>
      </c>
      <c r="E44" s="15">
        <v>103487303</v>
      </c>
      <c r="F44" s="15">
        <f>(E44-E42)/E42</f>
        <v>-1.4167919254323654E-3</v>
      </c>
      <c r="G44" s="3">
        <v>16.714400000000001</v>
      </c>
      <c r="H44" s="18">
        <f>(G44-G42)/G42</f>
        <v>1.1965873329237047E-5</v>
      </c>
      <c r="I44" s="20">
        <v>272033500</v>
      </c>
      <c r="J44" s="22">
        <f>(I44-I42)/I42</f>
        <v>-3.9479175898632439E-4</v>
      </c>
      <c r="K44" s="3">
        <v>0.30927733333333302</v>
      </c>
      <c r="L44" s="3">
        <f>(K44-K42)/K42</f>
        <v>1.6955255076455534E-3</v>
      </c>
      <c r="M44" s="3">
        <v>0.22527941666666601</v>
      </c>
      <c r="N44" s="3">
        <f>(M44-M42)/M42</f>
        <v>1.3512587486410534E-3</v>
      </c>
      <c r="O44" s="3">
        <v>0.20104508333333301</v>
      </c>
      <c r="P44" s="3">
        <f>(O44-O42)/O42</f>
        <v>1.5651134956390874E-3</v>
      </c>
      <c r="Q44" s="3">
        <v>4.8362737499999999E-3</v>
      </c>
      <c r="R44" s="3">
        <f>(Q44-Q42)/Q42</f>
        <v>-1.336277255977746E-3</v>
      </c>
      <c r="S44">
        <v>3.02206291666666E-3</v>
      </c>
      <c r="T44" s="3">
        <f>(S44-S42)/S42</f>
        <v>5.3362326984446457E-3</v>
      </c>
      <c r="U44" s="3">
        <v>3.5200483333333301E-3</v>
      </c>
      <c r="V44">
        <f>(U44-U42)/U42</f>
        <v>1.190319305168376E-3</v>
      </c>
    </row>
    <row r="45" spans="1:22" ht="18" x14ac:dyDescent="0.2">
      <c r="A45" s="1"/>
      <c r="B45" s="13" t="s">
        <v>13</v>
      </c>
      <c r="C45" s="11" t="s">
        <v>5</v>
      </c>
      <c r="D45" s="11">
        <v>98.14</v>
      </c>
      <c r="E45" s="15">
        <v>104135383</v>
      </c>
      <c r="F45" s="15">
        <f>(E45-E42)/E42</f>
        <v>4.8367463032039128E-3</v>
      </c>
      <c r="G45" s="7">
        <v>16.726500000000001</v>
      </c>
      <c r="H45" s="18">
        <f>(G45-G42)/G42</f>
        <v>7.3590120974977892E-4</v>
      </c>
      <c r="I45" s="20">
        <v>272024228</v>
      </c>
      <c r="J45" s="22">
        <f>(I45-I42)/I42</f>
        <v>-4.2886234033314628E-4</v>
      </c>
      <c r="K45" s="3">
        <v>0.30901358333333301</v>
      </c>
      <c r="L45" s="3">
        <f>(K45-K42)/K42</f>
        <v>8.4128510145354196E-4</v>
      </c>
      <c r="M45" s="3">
        <v>0.22508716666666601</v>
      </c>
      <c r="N45" s="3">
        <f>(M45-M42)/M42</f>
        <v>4.9672093802838812E-4</v>
      </c>
      <c r="O45" s="3">
        <v>0.200847625</v>
      </c>
      <c r="P45" s="3">
        <f>(O45-O42)/O42</f>
        <v>5.8141683041182163E-4</v>
      </c>
      <c r="Q45" s="3">
        <v>4.8468108333333303E-3</v>
      </c>
      <c r="R45" s="3">
        <f>(Q45-Q42)/Q42</f>
        <v>8.3957204712006058E-4</v>
      </c>
      <c r="S45" s="3">
        <v>3.0293224999999899E-3</v>
      </c>
      <c r="T45" s="3">
        <f>(S45-S42)/S42</f>
        <v>7.7512460057586972E-3</v>
      </c>
      <c r="U45" s="3">
        <v>3.5299058333333301E-3</v>
      </c>
      <c r="V45">
        <f>(U45-U42)/U42</f>
        <v>3.9940403447613106E-3</v>
      </c>
    </row>
    <row r="46" spans="1:22" ht="18" x14ac:dyDescent="0.2">
      <c r="A46" s="1"/>
      <c r="B46" s="13" t="s">
        <v>13</v>
      </c>
      <c r="C46" s="11" t="s">
        <v>24</v>
      </c>
      <c r="D46" s="14">
        <v>95.29</v>
      </c>
      <c r="E46" s="3">
        <v>110560688</v>
      </c>
      <c r="F46" s="15">
        <f>(E46-E42)/E42</f>
        <v>6.683663898334806E-2</v>
      </c>
      <c r="G46" s="3">
        <v>16.9529</v>
      </c>
      <c r="H46" s="18">
        <f>(G46-G42)/G42</f>
        <v>1.4281269818477575E-2</v>
      </c>
      <c r="I46" s="21">
        <v>276490551</v>
      </c>
      <c r="J46" s="22">
        <f t="shared" si="7"/>
        <v>1.5982938899170917E-2</v>
      </c>
      <c r="K46" s="3">
        <v>0.30468316666666601</v>
      </c>
      <c r="L46" s="3">
        <f>(K46-K42)/K42</f>
        <v>-1.3184181788837183E-2</v>
      </c>
      <c r="M46" s="3">
        <v>0.221699375</v>
      </c>
      <c r="N46" s="3">
        <f>(M46-M42)/M42</f>
        <v>-1.4561776194062761E-2</v>
      </c>
      <c r="O46" s="3">
        <v>0.197552375</v>
      </c>
      <c r="P46" s="3">
        <f>(O46-O42)/O42</f>
        <v>-1.5834838596110717E-2</v>
      </c>
      <c r="Q46" s="3">
        <v>4.7713491666666599E-3</v>
      </c>
      <c r="R46" s="3">
        <f>(Q46-Q42)/Q42</f>
        <v>-1.47428438485487E-2</v>
      </c>
      <c r="S46" s="3">
        <v>2.9861508333333302E-3</v>
      </c>
      <c r="T46" s="3">
        <f>(S46-S42)/S42</f>
        <v>-6.6104803787618285E-3</v>
      </c>
      <c r="U46" s="3">
        <v>3.4760679166666599E-3</v>
      </c>
      <c r="V46">
        <f>(U46-U42)/U42</f>
        <v>-1.1318817853178776E-2</v>
      </c>
    </row>
    <row r="47" spans="1:22" ht="18" x14ac:dyDescent="0.2">
      <c r="A47" s="1"/>
      <c r="B47" s="13" t="s">
        <v>28</v>
      </c>
      <c r="C47" s="11" t="s">
        <v>26</v>
      </c>
      <c r="D47" s="12">
        <v>95.59</v>
      </c>
      <c r="E47" s="16">
        <v>46270395</v>
      </c>
      <c r="F47" s="15">
        <v>0</v>
      </c>
      <c r="G47" s="18">
        <v>17.133500000000002</v>
      </c>
      <c r="H47" s="18">
        <v>0</v>
      </c>
      <c r="I47" s="20">
        <v>196296891</v>
      </c>
      <c r="J47" s="22">
        <v>0</v>
      </c>
      <c r="K47" s="3">
        <v>0.43001275</v>
      </c>
      <c r="L47" s="3">
        <v>0</v>
      </c>
      <c r="M47" s="3">
        <v>0.20822854166666599</v>
      </c>
      <c r="N47" s="3">
        <v>0</v>
      </c>
      <c r="O47" s="3">
        <v>0.24538449999999901</v>
      </c>
      <c r="P47" s="3">
        <v>0</v>
      </c>
      <c r="Q47" s="3">
        <v>2.91753458333333E-2</v>
      </c>
      <c r="R47" s="3">
        <v>0</v>
      </c>
      <c r="S47" s="3">
        <v>2.1465874999999999E-2</v>
      </c>
      <c r="T47" s="3">
        <v>0</v>
      </c>
      <c r="U47" s="3">
        <v>2.7407187499999899E-2</v>
      </c>
      <c r="V47">
        <v>0</v>
      </c>
    </row>
    <row r="48" spans="1:22" ht="18" x14ac:dyDescent="0.2">
      <c r="A48" s="1"/>
      <c r="B48" s="13" t="s">
        <v>28</v>
      </c>
      <c r="C48" s="11" t="s">
        <v>3</v>
      </c>
      <c r="D48" s="12">
        <v>96.44</v>
      </c>
      <c r="E48" s="15">
        <v>46334911</v>
      </c>
      <c r="F48" s="15">
        <f t="shared" ref="F48:F53" si="9">(E48-E47)/E47</f>
        <v>1.3943256805998738E-3</v>
      </c>
      <c r="G48" s="18">
        <v>17.147400000000001</v>
      </c>
      <c r="H48" s="18">
        <f>(G48-G47)/G47</f>
        <v>8.1127615490119234E-4</v>
      </c>
      <c r="I48" s="20">
        <v>196364230</v>
      </c>
      <c r="J48" s="22">
        <f>(I48-I47)/I47</f>
        <v>3.4304669654701766E-4</v>
      </c>
      <c r="K48" s="3">
        <v>0.42910762499999999</v>
      </c>
      <c r="L48" s="3">
        <f>(K48-K47)/K47</f>
        <v>-2.1048794483419539E-3</v>
      </c>
      <c r="M48" s="3">
        <v>0.20908616666666599</v>
      </c>
      <c r="N48" s="3">
        <f>(M48-M47)/M47</f>
        <v>4.1186716918610233E-3</v>
      </c>
      <c r="O48" s="3">
        <v>0.24562441666666601</v>
      </c>
      <c r="P48" s="3">
        <f>(O48-O47)/O47</f>
        <v>9.7771728314953476E-4</v>
      </c>
      <c r="Q48" s="3">
        <v>2.91898874999999E-2</v>
      </c>
      <c r="R48" s="3">
        <f>(Q48-Q47)/Q47</f>
        <v>4.9842311209165411E-4</v>
      </c>
      <c r="S48" s="3">
        <v>2.1441720833333299E-2</v>
      </c>
      <c r="T48" s="3">
        <f>(S48-S47)/S47</f>
        <v>-1.1252355968112051E-3</v>
      </c>
      <c r="U48" s="3">
        <v>2.7393149999999901E-2</v>
      </c>
      <c r="V48">
        <f>(U48-U47)/U47</f>
        <v>-5.1218316363172193E-4</v>
      </c>
    </row>
    <row r="49" spans="1:22" ht="18" x14ac:dyDescent="0.2">
      <c r="A49" s="1"/>
      <c r="B49" s="13" t="s">
        <v>28</v>
      </c>
      <c r="C49" s="11" t="s">
        <v>4</v>
      </c>
      <c r="D49" s="12">
        <v>97.2</v>
      </c>
      <c r="E49" s="15">
        <v>46381096</v>
      </c>
      <c r="F49" s="15">
        <f>(E49-E47)/E47</f>
        <v>2.3924801160655749E-3</v>
      </c>
      <c r="G49" s="18">
        <v>17.183599999999998</v>
      </c>
      <c r="H49" s="18">
        <f>(G49-G47)/G47</f>
        <v>2.9240960691042065E-3</v>
      </c>
      <c r="I49" s="20">
        <v>196554926</v>
      </c>
      <c r="J49" s="22">
        <f>(I49-I47)/I47</f>
        <v>1.3145139420471005E-3</v>
      </c>
      <c r="K49" s="3">
        <v>0.42812133333333302</v>
      </c>
      <c r="L49" s="3">
        <f>(K49-K47)/K47</f>
        <v>-4.3985129898287401E-3</v>
      </c>
      <c r="M49" s="3">
        <v>0.20909808333333299</v>
      </c>
      <c r="N49" s="3">
        <f>(M49-M47)/M47</f>
        <v>4.1759004779420225E-3</v>
      </c>
      <c r="O49" s="3">
        <v>0.245358833333333</v>
      </c>
      <c r="P49" s="3">
        <f>(O49-O47)/O47</f>
        <v>-1.0459775033063539E-4</v>
      </c>
      <c r="Q49" s="3">
        <v>2.9261925000000001E-2</v>
      </c>
      <c r="R49" s="3">
        <f>(Q49-Q47)/Q47</f>
        <v>2.9675455146716038E-3</v>
      </c>
      <c r="S49" s="3">
        <v>2.1469575000000001E-2</v>
      </c>
      <c r="T49" s="3">
        <f>(S49-S47)/S47</f>
        <v>1.7236660513500208E-4</v>
      </c>
      <c r="U49" s="3">
        <v>2.74312125E-2</v>
      </c>
      <c r="V49">
        <f>(U49-U47)/U47</f>
        <v>8.7659487133078277E-4</v>
      </c>
    </row>
    <row r="50" spans="1:22" ht="18" x14ac:dyDescent="0.2">
      <c r="A50" s="1"/>
      <c r="B50" s="13" t="s">
        <v>28</v>
      </c>
      <c r="C50" s="11" t="s">
        <v>5</v>
      </c>
      <c r="D50" s="12">
        <v>98.34</v>
      </c>
      <c r="E50" s="15">
        <v>46540523</v>
      </c>
      <c r="F50" s="15">
        <f>(E50-E47)/E47</f>
        <v>5.8380309915227651E-3</v>
      </c>
      <c r="G50" s="7">
        <v>17.167300000000001</v>
      </c>
      <c r="H50" s="18">
        <f>(G50-G47)/G47</f>
        <v>1.9727434558029231E-3</v>
      </c>
      <c r="I50" s="20">
        <v>196418872</v>
      </c>
      <c r="J50" s="22">
        <f>(I50-I47)/I47</f>
        <v>6.2141075886932922E-4</v>
      </c>
      <c r="K50" s="3">
        <v>0.42725195833333302</v>
      </c>
      <c r="L50" s="3">
        <f>(K50-K47)/K47</f>
        <v>-6.4202553683977608E-3</v>
      </c>
      <c r="M50" s="3">
        <v>0.209064166666666</v>
      </c>
      <c r="N50" s="3">
        <f>(M50-M47)/M47</f>
        <v>4.0130185483298539E-3</v>
      </c>
      <c r="O50" s="3">
        <v>0.245129083333333</v>
      </c>
      <c r="P50" s="3">
        <f>(O50-O47)/O47</f>
        <v>-1.0408834570480594E-3</v>
      </c>
      <c r="Q50" s="3">
        <v>2.9317325000000002E-2</v>
      </c>
      <c r="R50" s="3">
        <f>(Q50-Q47)/Q47</f>
        <v>4.8664090385687293E-3</v>
      </c>
      <c r="S50" s="3">
        <v>2.1493849999999998E-2</v>
      </c>
      <c r="T50" s="3">
        <f>(S50-S47)/S47</f>
        <v>1.3032312915266455E-3</v>
      </c>
      <c r="U50" s="3">
        <v>2.7459049999999999E-2</v>
      </c>
      <c r="V50">
        <f>(U50-U47)/U47</f>
        <v>1.8922955885240062E-3</v>
      </c>
    </row>
    <row r="51" spans="1:22" ht="18" x14ac:dyDescent="0.2">
      <c r="A51" s="1"/>
      <c r="B51" s="13" t="s">
        <v>28</v>
      </c>
      <c r="C51" s="11" t="s">
        <v>24</v>
      </c>
      <c r="D51" s="14">
        <v>96.08</v>
      </c>
      <c r="E51" s="3">
        <v>52432243</v>
      </c>
      <c r="F51" s="15">
        <f>(E51-E47)/E47</f>
        <v>0.13317042138931384</v>
      </c>
      <c r="G51" s="3">
        <v>17.4285</v>
      </c>
      <c r="H51" s="18">
        <f t="shared" si="8"/>
        <v>1.7217731345025716E-2</v>
      </c>
      <c r="I51" s="21">
        <v>198987174</v>
      </c>
      <c r="J51" s="22">
        <f>(I51-I47)/I47</f>
        <v>1.3705173761514134E-2</v>
      </c>
      <c r="K51" s="3">
        <v>0.42506516666666599</v>
      </c>
      <c r="L51" s="3">
        <f>(K51-K47)/K47</f>
        <v>-1.1505666595546306E-2</v>
      </c>
      <c r="M51" s="3">
        <v>0.2025285</v>
      </c>
      <c r="N51" s="3">
        <f>(M51-M47)/M47</f>
        <v>-2.7373969106457386E-2</v>
      </c>
      <c r="O51" s="3">
        <v>0.240501083333333</v>
      </c>
      <c r="P51" s="3">
        <f>(O51-O47)/O47</f>
        <v>-1.9901080413253572E-2</v>
      </c>
      <c r="Q51" s="3">
        <v>2.77297791666666E-2</v>
      </c>
      <c r="R51" s="3">
        <f>(Q51-Q47)/Q47</f>
        <v>-4.9547541781496784E-2</v>
      </c>
      <c r="S51" s="3">
        <v>2.0677174999999999E-2</v>
      </c>
      <c r="T51" s="3">
        <f>(S51-S47)/S47</f>
        <v>-3.674203823510571E-2</v>
      </c>
      <c r="U51" s="3">
        <v>2.6176991666666601E-2</v>
      </c>
      <c r="V51">
        <f>(U51-U47)/U47</f>
        <v>-4.4885883797208405E-2</v>
      </c>
    </row>
    <row r="52" spans="1:22" ht="18" x14ac:dyDescent="0.2">
      <c r="A52" s="1"/>
      <c r="B52" s="13" t="s">
        <v>14</v>
      </c>
      <c r="C52" s="11" t="s">
        <v>26</v>
      </c>
      <c r="D52" s="11">
        <v>93.93</v>
      </c>
      <c r="E52" s="16">
        <v>44729681</v>
      </c>
      <c r="F52" s="15">
        <v>0</v>
      </c>
      <c r="G52" s="18">
        <v>17.160900000000002</v>
      </c>
      <c r="H52" s="18">
        <v>0</v>
      </c>
      <c r="I52" s="20">
        <v>196449445</v>
      </c>
      <c r="J52" s="22">
        <v>0</v>
      </c>
      <c r="K52" s="3">
        <v>0.43038925</v>
      </c>
      <c r="L52" s="3">
        <v>0</v>
      </c>
      <c r="M52" s="3">
        <v>0.207567958333333</v>
      </c>
      <c r="N52" s="3">
        <v>0</v>
      </c>
      <c r="O52" s="3">
        <v>0.243290583333333</v>
      </c>
      <c r="P52" s="3">
        <v>0</v>
      </c>
      <c r="Q52" s="3">
        <v>2.9756429166666602E-2</v>
      </c>
      <c r="R52" s="3">
        <v>0</v>
      </c>
      <c r="S52" s="3">
        <v>2.2194808333333298E-2</v>
      </c>
      <c r="T52" s="3">
        <v>0</v>
      </c>
      <c r="U52" s="3">
        <v>2.8375662499999999E-2</v>
      </c>
      <c r="V52">
        <v>0</v>
      </c>
    </row>
    <row r="53" spans="1:22" ht="18" x14ac:dyDescent="0.2">
      <c r="A53" s="1"/>
      <c r="B53" s="13" t="s">
        <v>14</v>
      </c>
      <c r="C53" s="11" t="s">
        <v>3</v>
      </c>
      <c r="D53" s="12">
        <v>94.73</v>
      </c>
      <c r="E53" s="15">
        <v>44821341</v>
      </c>
      <c r="F53" s="15">
        <f t="shared" si="9"/>
        <v>2.049198607072561E-3</v>
      </c>
      <c r="G53" s="18">
        <v>17.174299999999999</v>
      </c>
      <c r="H53" s="18">
        <f>(G53-G52)/52</f>
        <v>2.5769230769225369E-4</v>
      </c>
      <c r="I53" s="20">
        <v>196528053</v>
      </c>
      <c r="J53" s="22">
        <f>(I53-I52)/I52</f>
        <v>4.0014366037022909E-4</v>
      </c>
      <c r="K53" s="3">
        <v>0.42938349999999897</v>
      </c>
      <c r="L53" s="3">
        <f>(K53-K52)/K52</f>
        <v>-2.3368381064374322E-3</v>
      </c>
      <c r="M53" s="3">
        <v>0.20857241666666601</v>
      </c>
      <c r="N53" s="3">
        <f>(M53-M52)/M52</f>
        <v>4.8391781727695942E-3</v>
      </c>
      <c r="O53" s="3">
        <v>0.24351283333333301</v>
      </c>
      <c r="P53" s="3">
        <f>(O53-O52)/O52</f>
        <v>9.1351665549464322E-4</v>
      </c>
      <c r="Q53" s="3">
        <v>2.9776762500000001E-2</v>
      </c>
      <c r="R53" s="3">
        <f t="shared" si="1"/>
        <v>6.8332571826788596E-4</v>
      </c>
      <c r="S53" s="3">
        <v>2.2170766666666598E-2</v>
      </c>
      <c r="T53" s="3">
        <f>(S53-S52)/S52</f>
        <v>-1.0832112765124878E-3</v>
      </c>
      <c r="U53" s="3">
        <v>2.8358091666666599E-2</v>
      </c>
      <c r="V53">
        <f>(U53-U52)/U52</f>
        <v>-6.1922195943091328E-4</v>
      </c>
    </row>
    <row r="54" spans="1:22" ht="18" x14ac:dyDescent="0.2">
      <c r="A54" s="1"/>
      <c r="B54" s="13" t="s">
        <v>14</v>
      </c>
      <c r="C54" s="11" t="s">
        <v>4</v>
      </c>
      <c r="D54" s="12">
        <v>95.52</v>
      </c>
      <c r="E54" s="15">
        <v>44907126</v>
      </c>
      <c r="F54" s="15">
        <f>(E54-E52)/E52</f>
        <v>3.9670526601788192E-3</v>
      </c>
      <c r="G54" s="18">
        <v>17.183599999999998</v>
      </c>
      <c r="H54" s="18">
        <f>(G54-G52)/G52</f>
        <v>1.3227744465614758E-3</v>
      </c>
      <c r="I54" s="20">
        <v>196554926</v>
      </c>
      <c r="J54" s="22">
        <f>(I54-I52)/I52</f>
        <v>5.3693712395064285E-4</v>
      </c>
      <c r="K54" s="3">
        <v>0.42837649999999999</v>
      </c>
      <c r="L54" s="3">
        <f>(K54-K52)/K52</f>
        <v>-4.676580560504259E-3</v>
      </c>
      <c r="M54" s="3">
        <v>0.208540791666666</v>
      </c>
      <c r="N54" s="3">
        <f>(M54-M53)/M53</f>
        <v>-1.5162599400931064E-4</v>
      </c>
      <c r="O54" s="3">
        <v>0.24320958333333301</v>
      </c>
      <c r="P54" s="3">
        <f>(O54-O52)/O52</f>
        <v>-3.3293520402727405E-4</v>
      </c>
      <c r="Q54" s="3">
        <v>2.9857837500000001E-2</v>
      </c>
      <c r="R54" s="3">
        <f>(Q54-Q52)/Q52</f>
        <v>3.4079469940902145E-3</v>
      </c>
      <c r="S54" s="3">
        <v>2.2204112499999901E-2</v>
      </c>
      <c r="T54" s="3">
        <f>(S54-S52)/S52</f>
        <v>4.1920464132275614E-4</v>
      </c>
      <c r="U54" s="3">
        <v>2.84019416666666E-2</v>
      </c>
      <c r="V54">
        <f>(U54-U52)/U52</f>
        <v>9.2611640932088333E-4</v>
      </c>
    </row>
    <row r="55" spans="1:22" ht="18" x14ac:dyDescent="0.2">
      <c r="A55" s="1"/>
      <c r="B55" s="13" t="s">
        <v>14</v>
      </c>
      <c r="C55" s="11" t="s">
        <v>5</v>
      </c>
      <c r="D55" s="12">
        <v>96.98</v>
      </c>
      <c r="E55" s="15">
        <v>45214159</v>
      </c>
      <c r="F55" s="15">
        <f>(E55-E52)/E52</f>
        <v>1.0831242011316826E-2</v>
      </c>
      <c r="G55" s="7">
        <v>17.198699999999999</v>
      </c>
      <c r="H55" s="18">
        <f>(G55-G52)/G52</f>
        <v>2.2026816775342298E-3</v>
      </c>
      <c r="I55" s="20">
        <v>196645521</v>
      </c>
      <c r="J55" s="22">
        <f>(I55-I52)/I52</f>
        <v>9.9809902746225633E-4</v>
      </c>
      <c r="K55" s="3">
        <v>0.42743862500000002</v>
      </c>
      <c r="L55" s="3">
        <f>(K55-K52)/K52</f>
        <v>-6.8557125904050451E-3</v>
      </c>
      <c r="M55" s="3">
        <v>0.20849841666666599</v>
      </c>
      <c r="N55" s="3">
        <f>(M55-M53)/M53</f>
        <v>-3.5479283973720749E-4</v>
      </c>
      <c r="O55" s="3">
        <v>0.242943875</v>
      </c>
      <c r="P55" s="3">
        <f>(O55-O52)/O52</f>
        <v>-1.425079132051631E-3</v>
      </c>
      <c r="Q55" s="3">
        <v>2.9915695833333301E-2</v>
      </c>
      <c r="R55" s="3">
        <f>(Q55-Q52)/Q52</f>
        <v>5.352344724383497E-3</v>
      </c>
      <c r="S55" s="3">
        <v>2.22214791666666E-2</v>
      </c>
      <c r="T55" s="3">
        <f>(S55-S52)/S52</f>
        <v>1.2016699100413279E-3</v>
      </c>
      <c r="U55" s="3">
        <v>2.8433062499999998E-2</v>
      </c>
      <c r="V55">
        <f>(U55-U52)/U52</f>
        <v>2.0228602592097761E-3</v>
      </c>
    </row>
    <row r="56" spans="1:22" ht="18" x14ac:dyDescent="0.2">
      <c r="A56" s="1"/>
      <c r="B56" s="13" t="s">
        <v>14</v>
      </c>
      <c r="C56" s="11" t="s">
        <v>24</v>
      </c>
      <c r="D56" s="14">
        <v>94.44</v>
      </c>
      <c r="E56" s="3">
        <v>50387608</v>
      </c>
      <c r="F56" s="15">
        <f>(E56-E52)/E52</f>
        <v>0.12649155713853627</v>
      </c>
      <c r="G56" s="3">
        <v>17.4544</v>
      </c>
      <c r="H56" s="18">
        <f t="shared" si="8"/>
        <v>1.7102832602019596E-2</v>
      </c>
      <c r="I56" s="21">
        <v>198652668</v>
      </c>
      <c r="J56" s="22">
        <f t="shared" ref="J56" si="10">(I56-I52)/I52</f>
        <v>1.1215216209951624E-2</v>
      </c>
      <c r="K56" s="3">
        <v>0.425795541666666</v>
      </c>
      <c r="L56" s="3">
        <f>(K56-K52)/K52</f>
        <v>-1.0673380743905664E-2</v>
      </c>
      <c r="M56" s="3">
        <v>0.20151833333333299</v>
      </c>
      <c r="N56" s="3">
        <f>(M56-M53)/M53</f>
        <v>-3.382078726453381E-2</v>
      </c>
      <c r="O56" s="3">
        <v>0.23837699999999901</v>
      </c>
      <c r="P56" s="3">
        <f>(O56-O52)/O52</f>
        <v>-2.0196356414674242E-2</v>
      </c>
      <c r="Q56" s="3">
        <v>2.80324624999999E-2</v>
      </c>
      <c r="R56" s="3">
        <f>(Q56-Q52)/Q52</f>
        <v>-5.7935939054068464E-2</v>
      </c>
      <c r="S56" s="3">
        <v>2.1175212499999999E-2</v>
      </c>
      <c r="T56" s="3">
        <f>(S56-S52)/S52</f>
        <v>-4.5938483361535436E-2</v>
      </c>
      <c r="U56" s="3">
        <v>2.6795179166666599E-2</v>
      </c>
      <c r="V56">
        <f>(U56-U52)/U52</f>
        <v>-5.5698552706334156E-2</v>
      </c>
    </row>
    <row r="57" spans="1:22" ht="18" x14ac:dyDescent="0.2">
      <c r="A57" s="1"/>
      <c r="B57" s="13" t="s">
        <v>15</v>
      </c>
      <c r="C57" s="11" t="s">
        <v>26</v>
      </c>
      <c r="D57" s="12">
        <v>95.19</v>
      </c>
      <c r="E57" s="16">
        <v>56564266</v>
      </c>
      <c r="F57" s="16">
        <v>0</v>
      </c>
      <c r="G57" s="18">
        <v>21.6754</v>
      </c>
      <c r="H57" s="18">
        <v>0</v>
      </c>
      <c r="I57" s="20">
        <v>205163241</v>
      </c>
      <c r="J57" s="22">
        <v>0</v>
      </c>
      <c r="K57" s="3">
        <v>0.39796345833333302</v>
      </c>
      <c r="L57" s="3">
        <v>0</v>
      </c>
      <c r="M57" s="3">
        <v>0.197356</v>
      </c>
      <c r="N57" s="3">
        <v>0</v>
      </c>
      <c r="O57" s="3">
        <v>0.22465450000000001</v>
      </c>
      <c r="P57" s="3">
        <v>0</v>
      </c>
      <c r="Q57" s="3">
        <v>3.2935195833333299E-2</v>
      </c>
      <c r="R57" s="3">
        <v>0</v>
      </c>
      <c r="S57" s="3">
        <v>2.4235883333333302E-2</v>
      </c>
      <c r="T57" s="3">
        <v>0</v>
      </c>
      <c r="U57" s="3">
        <v>3.1118308333333299E-2</v>
      </c>
      <c r="V57">
        <v>0</v>
      </c>
    </row>
    <row r="58" spans="1:22" ht="18" x14ac:dyDescent="0.2">
      <c r="A58" s="1"/>
      <c r="B58" s="13" t="s">
        <v>15</v>
      </c>
      <c r="C58" s="11" t="s">
        <v>3</v>
      </c>
      <c r="D58" s="11">
        <v>96.12</v>
      </c>
      <c r="E58" s="15">
        <v>56705262</v>
      </c>
      <c r="F58" s="15">
        <f>(E58-E57)/E57</f>
        <v>2.4926691349623454E-3</v>
      </c>
      <c r="G58" s="18">
        <v>21.700399999999998</v>
      </c>
      <c r="H58" s="18">
        <f>(G58-G57)/G57</f>
        <v>1.1533812524797042E-3</v>
      </c>
      <c r="I58" s="20">
        <v>205166416</v>
      </c>
      <c r="J58" s="22">
        <f>(I58-I57)/I57</f>
        <v>1.5475481789644763E-5</v>
      </c>
      <c r="K58" s="3">
        <v>0.39716195833333301</v>
      </c>
      <c r="L58" s="3">
        <f>(K58-K57)/K57</f>
        <v>-2.0140040076962957E-3</v>
      </c>
      <c r="M58" s="3">
        <v>0.19831220833333299</v>
      </c>
      <c r="N58" s="3">
        <f>(M58-M57)/M57</f>
        <v>4.8450938067907045E-3</v>
      </c>
      <c r="O58" s="3">
        <v>0.22492699999999899</v>
      </c>
      <c r="P58" s="3">
        <f>(O58-O57)/O57</f>
        <v>1.2129736996097647E-3</v>
      </c>
      <c r="Q58" s="3">
        <v>3.2954262499999998E-2</v>
      </c>
      <c r="R58" s="3">
        <f>(Q58-Q57)/Q57</f>
        <v>5.7891462869038158E-4</v>
      </c>
      <c r="S58" s="3">
        <v>2.42118625E-2</v>
      </c>
      <c r="T58" s="3">
        <f>(S58-S57)/S57</f>
        <v>-9.9112679339662178E-4</v>
      </c>
      <c r="U58" s="3">
        <v>3.1101674999999999E-2</v>
      </c>
      <c r="V58">
        <f>(U58-U57)/U57</f>
        <v>-5.3451920185144453E-4</v>
      </c>
    </row>
    <row r="59" spans="1:22" ht="18" x14ac:dyDescent="0.2">
      <c r="A59" s="1"/>
      <c r="B59" s="13" t="s">
        <v>15</v>
      </c>
      <c r="C59" s="11" t="s">
        <v>4</v>
      </c>
      <c r="D59" s="11">
        <v>96.96</v>
      </c>
      <c r="E59" s="15">
        <v>56808861</v>
      </c>
      <c r="F59" s="15">
        <f>(E59-E57)/E57</f>
        <v>4.3241964812201399E-3</v>
      </c>
      <c r="G59" s="18">
        <v>21.715199999999999</v>
      </c>
      <c r="H59" s="18">
        <f>(G59-G57)/G57</f>
        <v>1.8361829539477756E-3</v>
      </c>
      <c r="I59" s="20">
        <v>205145200</v>
      </c>
      <c r="J59" s="22">
        <f>(I59-I57)/I57</f>
        <v>-8.7934855737631867E-5</v>
      </c>
      <c r="K59" s="3">
        <v>0.39640145833333301</v>
      </c>
      <c r="L59" s="3">
        <f>(K59-K57)/K57</f>
        <v>-3.9249834810001103E-3</v>
      </c>
      <c r="M59" s="3">
        <v>0.19845141666666599</v>
      </c>
      <c r="N59" s="3">
        <f>(M59-M57)/M57</f>
        <v>5.5504604200834438E-3</v>
      </c>
      <c r="O59" s="3">
        <v>0.22481949999999901</v>
      </c>
      <c r="P59" s="3">
        <f>(O59-O57)/O57</f>
        <v>7.3446113921154165E-4</v>
      </c>
      <c r="Q59" s="3">
        <v>3.3032858333333297E-2</v>
      </c>
      <c r="R59" s="3">
        <f>(Q59-Q57)/Q57</f>
        <v>2.9652928282015894E-3</v>
      </c>
      <c r="S59" s="3">
        <v>2.4235312499999901E-2</v>
      </c>
      <c r="T59" s="3">
        <f>(S59-S57)/S57</f>
        <v>-2.3553229958634366E-5</v>
      </c>
      <c r="U59" s="3">
        <v>3.1136570833333301E-2</v>
      </c>
      <c r="V59">
        <f>(U59-U57)/U57</f>
        <v>5.8687316175342491E-4</v>
      </c>
    </row>
    <row r="60" spans="1:22" ht="18" x14ac:dyDescent="0.2">
      <c r="A60" s="1"/>
      <c r="B60" s="13" t="s">
        <v>15</v>
      </c>
      <c r="C60" s="11" t="s">
        <v>5</v>
      </c>
      <c r="D60" s="12">
        <v>98.25</v>
      </c>
      <c r="E60" s="15">
        <v>57027689</v>
      </c>
      <c r="F60" s="15">
        <f>(E60-E57)/E57</f>
        <v>8.1928580139270252E-3</v>
      </c>
      <c r="G60" s="7">
        <v>21.734500000000001</v>
      </c>
      <c r="H60" s="18">
        <f>(G60-G57)/G57</f>
        <v>2.7265932808622135E-3</v>
      </c>
      <c r="I60" s="20">
        <v>205168142</v>
      </c>
      <c r="J60" s="22">
        <f>(I60-I57)/I57</f>
        <v>2.3888294882220153E-5</v>
      </c>
      <c r="K60" s="3">
        <v>0.39576324999999901</v>
      </c>
      <c r="L60" s="3">
        <f>(K60-K57)/K57</f>
        <v>-5.5286692465395162E-3</v>
      </c>
      <c r="M60" s="3">
        <v>0.19847720833333299</v>
      </c>
      <c r="N60" s="3">
        <f>(M60-M57)/M57</f>
        <v>5.6811464223686372E-3</v>
      </c>
      <c r="O60" s="3">
        <v>0.22466962500000001</v>
      </c>
      <c r="P60" s="3">
        <f>(O60-O57)/O57</f>
        <v>6.7325604428153981E-5</v>
      </c>
      <c r="Q60" s="3">
        <v>3.3084670833333302E-2</v>
      </c>
      <c r="R60" s="3">
        <f>(Q60-Q57)/Q57</f>
        <v>4.5384579085672632E-3</v>
      </c>
      <c r="S60" s="3">
        <v>2.4256091666666601E-2</v>
      </c>
      <c r="T60" s="3">
        <f>(S60-S57)/S57</f>
        <v>8.3381872471325431E-4</v>
      </c>
      <c r="U60" s="3">
        <v>3.11634458333333E-2</v>
      </c>
      <c r="V60">
        <f>(U60-U57)/U57</f>
        <v>1.4505126537244961E-3</v>
      </c>
    </row>
    <row r="61" spans="1:22" x14ac:dyDescent="0.2">
      <c r="A61" s="1"/>
      <c r="B61" s="13" t="s">
        <v>15</v>
      </c>
      <c r="C61" s="11" t="s">
        <v>24</v>
      </c>
      <c r="D61" s="14">
        <v>95.74</v>
      </c>
      <c r="E61" s="3">
        <v>63054846</v>
      </c>
      <c r="F61" s="3">
        <f>(E61-E57)/E57</f>
        <v>0.11474700299302036</v>
      </c>
      <c r="G61" s="3">
        <v>22.0334</v>
      </c>
      <c r="H61" s="18">
        <f t="shared" si="8"/>
        <v>1.6516419535510328E-2</v>
      </c>
      <c r="I61" s="21">
        <v>209056914</v>
      </c>
      <c r="J61" s="22">
        <f>(I61-I57)/I57</f>
        <v>1.8978414364198896E-2</v>
      </c>
      <c r="K61" s="3">
        <v>0.39082741666666598</v>
      </c>
      <c r="L61" s="3">
        <f>(K61-K57)/K57</f>
        <v>-1.7931399271060484E-2</v>
      </c>
      <c r="M61" s="3">
        <v>0.189338333333333</v>
      </c>
      <c r="N61" s="3">
        <f>(M61-M57)/M57</f>
        <v>-4.0625401136357681E-2</v>
      </c>
      <c r="O61" s="3">
        <v>0.21778066666666601</v>
      </c>
      <c r="P61" s="3">
        <f>(O61-O57)/O57</f>
        <v>-3.0597354307765903E-2</v>
      </c>
      <c r="Q61" s="3">
        <v>3.1793074999999997E-2</v>
      </c>
      <c r="R61" s="3">
        <f>(Q61-Q57)/Q57</f>
        <v>-3.4677821231515964E-2</v>
      </c>
      <c r="S61" s="3">
        <v>2.3717824999999901E-2</v>
      </c>
      <c r="T61" s="3">
        <f>(S61-S57)/S57</f>
        <v>-2.1375673673955969E-2</v>
      </c>
      <c r="U61" s="3">
        <v>3.01722249999999E-2</v>
      </c>
      <c r="V61">
        <f>(U61-U57)/U57</f>
        <v>-3.0402788069297911E-2</v>
      </c>
    </row>
    <row r="62" spans="1:22" ht="18" x14ac:dyDescent="0.2">
      <c r="A62" s="1"/>
      <c r="B62" s="13" t="s">
        <v>16</v>
      </c>
      <c r="C62" s="11" t="s">
        <v>26</v>
      </c>
      <c r="D62" s="12">
        <v>66.34</v>
      </c>
      <c r="E62" s="15">
        <v>23187013</v>
      </c>
      <c r="F62" s="3">
        <v>0</v>
      </c>
      <c r="G62" s="18">
        <v>14.022399999999999</v>
      </c>
      <c r="H62" s="18">
        <v>0</v>
      </c>
      <c r="I62" s="20">
        <v>77789006</v>
      </c>
      <c r="J62" s="22">
        <v>0</v>
      </c>
      <c r="K62" s="3">
        <v>0.75835983333333301</v>
      </c>
      <c r="L62" s="3">
        <v>0</v>
      </c>
      <c r="M62" s="3">
        <v>0.38364833333333298</v>
      </c>
      <c r="N62" s="3">
        <v>0</v>
      </c>
      <c r="O62" s="3">
        <v>0.52026804166666596</v>
      </c>
      <c r="P62" s="3">
        <v>0</v>
      </c>
      <c r="Q62" s="3">
        <v>9.8949762499999892E-3</v>
      </c>
      <c r="R62" s="3">
        <v>0</v>
      </c>
      <c r="S62" s="3">
        <v>8.1226229166666605E-3</v>
      </c>
      <c r="T62" s="3">
        <v>0</v>
      </c>
      <c r="U62" s="3">
        <v>9.7824699999999997E-3</v>
      </c>
      <c r="V62">
        <v>0</v>
      </c>
    </row>
    <row r="63" spans="1:22" ht="18" x14ac:dyDescent="0.2">
      <c r="A63" s="1"/>
      <c r="B63" s="13" t="s">
        <v>16</v>
      </c>
      <c r="C63" s="11" t="s">
        <v>3</v>
      </c>
      <c r="D63" s="11">
        <v>75.08</v>
      </c>
      <c r="E63" s="16">
        <v>23548671</v>
      </c>
      <c r="F63" s="3">
        <f>(E63-E62)/E62</f>
        <v>1.55974381003711E-2</v>
      </c>
      <c r="G63" s="18">
        <v>14.107799999999999</v>
      </c>
      <c r="H63" s="18">
        <f>(G63-G62)/G62</f>
        <v>6.0902555910543081E-3</v>
      </c>
      <c r="I63" s="20">
        <v>79211797</v>
      </c>
      <c r="J63" s="22">
        <f>(I63-I62)/I62</f>
        <v>1.8290386690376272E-2</v>
      </c>
      <c r="K63" s="3">
        <v>0.75213987499999901</v>
      </c>
      <c r="L63" s="3">
        <f>(K63-K62)/K62</f>
        <v>-8.2018562428266793E-3</v>
      </c>
      <c r="M63" s="3">
        <v>0.37752154166666602</v>
      </c>
      <c r="N63" s="3">
        <f>(M63-M62)/M62</f>
        <v>-1.5969811763377841E-2</v>
      </c>
      <c r="O63" s="3">
        <v>0.51344716666666601</v>
      </c>
      <c r="P63" s="3">
        <f>(O63-O62)/O62</f>
        <v>-1.3110309405416182E-2</v>
      </c>
      <c r="Q63" s="3">
        <v>9.9852095833333297E-3</v>
      </c>
      <c r="R63" s="3">
        <f>(Q63-Q62)/Q62</f>
        <v>9.1191056000099573E-3</v>
      </c>
      <c r="S63" s="3">
        <v>8.3222216666666606E-3</v>
      </c>
      <c r="T63" s="3">
        <f t="shared" ref="T4:T67" si="11">(S63-S62)/S62</f>
        <v>2.4573189233055136E-2</v>
      </c>
      <c r="U63" s="3">
        <v>9.8728158333333295E-3</v>
      </c>
      <c r="V63">
        <f>(U63-U62)/U62</f>
        <v>9.2354827904741633E-3</v>
      </c>
    </row>
    <row r="64" spans="1:22" ht="18" x14ac:dyDescent="0.2">
      <c r="A64" s="1"/>
      <c r="B64" s="13" t="s">
        <v>16</v>
      </c>
      <c r="C64" s="11" t="s">
        <v>4</v>
      </c>
      <c r="D64" s="11">
        <v>82.14</v>
      </c>
      <c r="E64" s="15">
        <v>23586855</v>
      </c>
      <c r="F64" s="3">
        <f>(E64-E62)/E62</f>
        <v>1.7244222013417597E-2</v>
      </c>
      <c r="G64" s="18">
        <v>14.061400000000001</v>
      </c>
      <c r="H64" s="18">
        <f>(G64-G62)/G62</f>
        <v>2.7812642628937613E-3</v>
      </c>
      <c r="I64" s="20">
        <v>79407031</v>
      </c>
      <c r="J64" s="22">
        <f>(I64-I62)/I62</f>
        <v>2.0800175798621208E-2</v>
      </c>
      <c r="K64" s="3">
        <v>0.74824124999999997</v>
      </c>
      <c r="L64" s="3">
        <f>(K64-K62)/K62</f>
        <v>-1.334272055108366E-2</v>
      </c>
      <c r="M64" s="3">
        <v>0.375374125</v>
      </c>
      <c r="N64" s="3">
        <f>(M64-M62)/M62</f>
        <v>-2.1567168717878747E-2</v>
      </c>
      <c r="O64" s="3">
        <v>0.51057454166666605</v>
      </c>
      <c r="P64" s="3">
        <f>(O64-O62)/O62</f>
        <v>-1.8631742147657233E-2</v>
      </c>
      <c r="Q64" s="3">
        <v>9.9408470833333307E-3</v>
      </c>
      <c r="R64" s="3">
        <f>(Q64-Q62)/Q62</f>
        <v>4.6357699275267642E-3</v>
      </c>
      <c r="S64" s="3">
        <v>8.1879570833333307E-3</v>
      </c>
      <c r="T64" s="3">
        <f>(S64-S62)/S62</f>
        <v>8.0434814390573633E-3</v>
      </c>
      <c r="U64" s="3">
        <v>9.7943245833333296E-3</v>
      </c>
      <c r="V64">
        <f>(U64-U62)/U62</f>
        <v>1.2118190327524577E-3</v>
      </c>
    </row>
    <row r="65" spans="1:22" ht="18" x14ac:dyDescent="0.2">
      <c r="A65" s="1"/>
      <c r="B65" s="13" t="s">
        <v>16</v>
      </c>
      <c r="C65" s="11" t="s">
        <v>5</v>
      </c>
      <c r="D65" s="11">
        <v>91.82</v>
      </c>
      <c r="E65" s="15">
        <v>24538061</v>
      </c>
      <c r="F65" s="3">
        <f>(E65-E62)/E62</f>
        <v>5.8267444797654618E-2</v>
      </c>
      <c r="G65" s="18">
        <v>14.097799999999999</v>
      </c>
      <c r="H65" s="18">
        <f>(G65-G62)/G62</f>
        <v>5.3771109082610775E-3</v>
      </c>
      <c r="I65" s="20">
        <v>79811608</v>
      </c>
      <c r="J65" s="22">
        <f>(I65-I62)/I62</f>
        <v>2.6001129259833968E-2</v>
      </c>
      <c r="K65" s="3">
        <v>0.74435837500000002</v>
      </c>
      <c r="L65" s="3">
        <f>(K65-K62)/K62</f>
        <v>-1.8462816354329156E-2</v>
      </c>
      <c r="M65" s="3">
        <v>0.37237395833333298</v>
      </c>
      <c r="N65" s="3">
        <f>(M65-M62)/M62</f>
        <v>-2.9387264378402132E-2</v>
      </c>
      <c r="O65" s="5">
        <v>0.50735562499999998</v>
      </c>
      <c r="P65" s="3">
        <f>(O65-O62)/O62</f>
        <v>-2.481877730813788E-2</v>
      </c>
      <c r="Q65" s="3">
        <v>1.0279625833333301E-2</v>
      </c>
      <c r="R65" s="3">
        <f>(Q65-Q62)/Q62</f>
        <v>3.8873219461573918E-2</v>
      </c>
      <c r="S65" s="3">
        <v>8.3506079166666605E-3</v>
      </c>
      <c r="T65" s="3">
        <f>(S65-S62)/S62</f>
        <v>2.8067903968827825E-2</v>
      </c>
      <c r="U65" s="3">
        <v>1.00931520833333E-2</v>
      </c>
      <c r="V65">
        <f>(U65-U62)/U62</f>
        <v>3.1759063235900539E-2</v>
      </c>
    </row>
    <row r="66" spans="1:22" x14ac:dyDescent="0.2">
      <c r="A66" s="1"/>
      <c r="B66" s="13" t="s">
        <v>16</v>
      </c>
      <c r="C66" s="11" t="s">
        <v>24</v>
      </c>
      <c r="D66" s="14">
        <v>70.819999999999993</v>
      </c>
      <c r="E66" s="3">
        <v>32666612</v>
      </c>
      <c r="F66" s="3">
        <f t="shared" ref="F66:F101" si="12">(E66-E62)/E62</f>
        <v>0.40883226312936471</v>
      </c>
      <c r="G66" s="3">
        <v>14.738799999999999</v>
      </c>
      <c r="H66" s="18">
        <f t="shared" si="8"/>
        <v>5.1089685075308089E-2</v>
      </c>
      <c r="I66" s="21">
        <v>79198216</v>
      </c>
      <c r="J66" s="22">
        <f>(I66-I62)/I62</f>
        <v>1.8115799037205848E-2</v>
      </c>
      <c r="K66" s="3">
        <v>0.75178333333333303</v>
      </c>
      <c r="L66" s="3">
        <f>(K66-K62)/K62</f>
        <v>-8.6720046486287467E-3</v>
      </c>
      <c r="M66" s="3">
        <v>0.37184570833333302</v>
      </c>
      <c r="N66" s="3">
        <f>(M66-M62)/M62</f>
        <v>-3.0764176394180345E-2</v>
      </c>
      <c r="O66" s="3">
        <v>0.50842612499999995</v>
      </c>
      <c r="P66" s="3">
        <f>(O66-O62)/O62</f>
        <v>-2.2761184078750479E-2</v>
      </c>
      <c r="Q66" s="3">
        <v>9.3800245833333303E-3</v>
      </c>
      <c r="R66" s="3">
        <f>(Q66-Q62)/Q62</f>
        <v>-5.2041728414119186E-2</v>
      </c>
      <c r="S66" s="3">
        <v>8.2080704166666608E-3</v>
      </c>
      <c r="T66" s="3">
        <f>(S66-S62)/S62</f>
        <v>1.0519693069177473E-2</v>
      </c>
      <c r="U66" s="3">
        <v>9.3859991666666604E-3</v>
      </c>
      <c r="V66">
        <f>(U66-U62)/U62</f>
        <v>-4.0528704236592529E-2</v>
      </c>
    </row>
    <row r="67" spans="1:22" ht="18" x14ac:dyDescent="0.2">
      <c r="A67" s="1"/>
      <c r="B67" s="13" t="s">
        <v>17</v>
      </c>
      <c r="C67" s="11" t="s">
        <v>26</v>
      </c>
      <c r="D67" s="12">
        <v>71.81</v>
      </c>
      <c r="E67" s="15">
        <v>29588851</v>
      </c>
      <c r="F67" s="3">
        <v>0</v>
      </c>
      <c r="G67" s="18">
        <v>15.492100000000001</v>
      </c>
      <c r="H67" s="18">
        <v>0</v>
      </c>
      <c r="I67" s="20">
        <v>98888413</v>
      </c>
      <c r="J67" s="22">
        <v>0</v>
      </c>
      <c r="K67" s="3">
        <v>0.68588962499999995</v>
      </c>
      <c r="L67" s="3">
        <v>0</v>
      </c>
      <c r="M67" s="3">
        <v>0.32095058333333298</v>
      </c>
      <c r="N67" s="3">
        <v>0</v>
      </c>
      <c r="O67" s="3">
        <v>0.42888220833333301</v>
      </c>
      <c r="P67" s="3">
        <v>0</v>
      </c>
      <c r="Q67" s="3">
        <v>3.5689316666666598E-3</v>
      </c>
      <c r="R67" s="3">
        <v>0</v>
      </c>
      <c r="S67" s="3">
        <v>3.5660558333333301E-3</v>
      </c>
      <c r="T67" s="3">
        <v>0</v>
      </c>
      <c r="U67" s="3">
        <v>3.4453299999999899E-3</v>
      </c>
      <c r="V67">
        <v>0</v>
      </c>
    </row>
    <row r="68" spans="1:22" ht="18" x14ac:dyDescent="0.2">
      <c r="A68" s="1"/>
      <c r="B68" s="13" t="s">
        <v>17</v>
      </c>
      <c r="C68" s="11" t="s">
        <v>3</v>
      </c>
      <c r="D68" s="12">
        <v>81.16</v>
      </c>
      <c r="E68" s="15">
        <v>27011809</v>
      </c>
      <c r="F68" s="3">
        <f>(E68-E67)/E67</f>
        <v>-8.7095034545275174E-2</v>
      </c>
      <c r="G68" s="18">
        <v>15.5238</v>
      </c>
      <c r="H68" s="18">
        <f>(G68-G67)/G67</f>
        <v>2.0462041943957857E-3</v>
      </c>
      <c r="I68" s="20">
        <v>99922738</v>
      </c>
      <c r="J68" s="22">
        <f>(I68-I67)/I67</f>
        <v>1.0459516627089566E-2</v>
      </c>
      <c r="K68" s="3">
        <v>0.68008420833333305</v>
      </c>
      <c r="L68" s="3">
        <f>(K68-K67)/K67</f>
        <v>-8.4640683501618734E-3</v>
      </c>
      <c r="M68" s="3">
        <v>0.31875208333333299</v>
      </c>
      <c r="N68" s="3">
        <f>(M68-M67)/M67</f>
        <v>-6.8499641819210312E-3</v>
      </c>
      <c r="O68" s="3">
        <v>0.42527616666666601</v>
      </c>
      <c r="P68" s="3">
        <f>(O68-O67)/O67</f>
        <v>-8.4080001375677008E-3</v>
      </c>
      <c r="Q68" s="3">
        <v>3.5854433333333299E-3</v>
      </c>
      <c r="R68" s="3">
        <f>(Q68-Q67)/Q67</f>
        <v>4.6265012078787688E-3</v>
      </c>
      <c r="S68" s="3">
        <v>3.6165083333333302E-3</v>
      </c>
      <c r="T68" s="3">
        <f>(S68-S67)/S67</f>
        <v>1.4147983755161832E-2</v>
      </c>
      <c r="U68" s="3">
        <v>3.47305083333333E-3</v>
      </c>
      <c r="V68">
        <f>(U68-U67)/U67</f>
        <v>8.0459152921026691E-3</v>
      </c>
    </row>
    <row r="69" spans="1:22" ht="18" x14ac:dyDescent="0.2">
      <c r="A69" s="1"/>
      <c r="B69" s="13" t="s">
        <v>17</v>
      </c>
      <c r="C69" s="11" t="s">
        <v>4</v>
      </c>
      <c r="D69" s="12">
        <v>86.22</v>
      </c>
      <c r="E69" s="15">
        <v>26357454</v>
      </c>
      <c r="F69" s="3">
        <f>(E69-E67)/E67</f>
        <v>-0.10920995208634496</v>
      </c>
      <c r="G69" s="18">
        <v>15.5387</v>
      </c>
      <c r="H69" s="18">
        <f>(G69-G67)/G67</f>
        <v>3.0079847147901025E-3</v>
      </c>
      <c r="I69" s="20">
        <v>100441781</v>
      </c>
      <c r="J69" s="22">
        <f>(I69-I67)/I67</f>
        <v>1.5708291324282857E-2</v>
      </c>
      <c r="K69" s="3">
        <v>0.67566991666666598</v>
      </c>
      <c r="L69" s="3">
        <f>(K69-K68)/K67</f>
        <v>-6.4358630102723446E-3</v>
      </c>
      <c r="M69" s="3">
        <v>0.317154458333333</v>
      </c>
      <c r="N69" s="3">
        <f>(M69-M67)/M67</f>
        <v>-1.1827755415098911E-2</v>
      </c>
      <c r="O69" s="3">
        <v>0.42284087499999901</v>
      </c>
      <c r="P69" s="3">
        <f>(O69-O67)/O67</f>
        <v>-1.4086229775795697E-2</v>
      </c>
      <c r="Q69" s="3">
        <v>3.6652391666666599E-3</v>
      </c>
      <c r="R69" s="3">
        <f>(Q69-Q67)/Q67</f>
        <v>2.6984966089291965E-2</v>
      </c>
      <c r="S69" s="3">
        <v>3.6367237499999902E-3</v>
      </c>
      <c r="T69" s="3">
        <f>(S69-S67)/S67</f>
        <v>1.9816828442813256E-2</v>
      </c>
      <c r="U69" s="3">
        <v>3.5221708333333301E-3</v>
      </c>
      <c r="V69">
        <f>(U69-U67)/U67</f>
        <v>2.2302895029892748E-2</v>
      </c>
    </row>
    <row r="70" spans="1:22" ht="18" x14ac:dyDescent="0.2">
      <c r="A70" s="1"/>
      <c r="B70" s="13" t="s">
        <v>17</v>
      </c>
      <c r="C70" s="11" t="s">
        <v>5</v>
      </c>
      <c r="D70" s="12">
        <v>93.19</v>
      </c>
      <c r="E70" s="15">
        <v>27236812</v>
      </c>
      <c r="F70" s="3">
        <f>(E70-E67)/E67</f>
        <v>-7.9490717635503999E-2</v>
      </c>
      <c r="G70" s="18">
        <v>15.52</v>
      </c>
      <c r="H70" s="18">
        <f>(G70-G67)/G67</f>
        <v>1.8009178871811391E-3</v>
      </c>
      <c r="I70" s="20">
        <v>100390910</v>
      </c>
      <c r="J70" s="22">
        <f>(I70-I67)/I67</f>
        <v>1.5193863005972197E-2</v>
      </c>
      <c r="K70" s="3">
        <v>0.67229187499999998</v>
      </c>
      <c r="L70" s="3">
        <f>(K70-K67)/K67</f>
        <v>-1.9824982773285083E-2</v>
      </c>
      <c r="M70" s="3">
        <v>0.317353041666666</v>
      </c>
      <c r="N70" s="3">
        <f>(M70-M67)/M67</f>
        <v>-1.1209020495627655E-2</v>
      </c>
      <c r="O70" s="3">
        <v>0.42182920833333298</v>
      </c>
      <c r="P70" s="3">
        <f>(O70-O67)/O67</f>
        <v>-1.6445074808322066E-2</v>
      </c>
      <c r="Q70" s="3">
        <v>3.81659916666666E-3</v>
      </c>
      <c r="R70" s="3">
        <f>(Q70-Q67)/Q67</f>
        <v>6.9395416648960026E-2</v>
      </c>
      <c r="S70" s="3">
        <v>3.5953916666666601E-3</v>
      </c>
      <c r="T70" s="3">
        <f>(S70-S67)/S67</f>
        <v>8.2264088686207267E-3</v>
      </c>
      <c r="U70" s="3">
        <v>3.59932749999999E-3</v>
      </c>
      <c r="V70">
        <f>(U70-U67)/U67</f>
        <v>4.4697460040112422E-2</v>
      </c>
    </row>
    <row r="71" spans="1:22" x14ac:dyDescent="0.2">
      <c r="A71" s="1"/>
      <c r="B71" s="13" t="s">
        <v>17</v>
      </c>
      <c r="C71" s="11" t="s">
        <v>24</v>
      </c>
      <c r="D71" s="14">
        <v>77.12</v>
      </c>
      <c r="E71" s="3">
        <v>35728496</v>
      </c>
      <c r="F71" s="3">
        <f t="shared" si="12"/>
        <v>0.20749859465648057</v>
      </c>
      <c r="G71" s="3">
        <v>16.160799999999998</v>
      </c>
      <c r="H71" s="18">
        <f t="shared" si="8"/>
        <v>4.3163935166955908E-2</v>
      </c>
      <c r="I71" s="21">
        <v>100106531</v>
      </c>
      <c r="J71" s="22">
        <f>(I71-I67)/I67</f>
        <v>1.2318106470168552E-2</v>
      </c>
      <c r="K71" s="3">
        <v>0.67956187499999998</v>
      </c>
      <c r="L71" s="3">
        <f>(K71-K67)/K67</f>
        <v>-9.2256097327612519E-3</v>
      </c>
      <c r="M71" s="3">
        <v>0.31236704166666601</v>
      </c>
      <c r="N71" s="3">
        <f>(M71-M67)/M67</f>
        <v>-2.6744122342822706E-2</v>
      </c>
      <c r="O71" s="3">
        <v>0.41995591666666598</v>
      </c>
      <c r="P71" s="3">
        <f>(O71-O67)/O67</f>
        <v>-2.0812921341165535E-2</v>
      </c>
      <c r="Q71" s="3">
        <v>3.2667887499999901E-3</v>
      </c>
      <c r="R71" s="3">
        <f>(Q71-Q67)/Q67</f>
        <v>-8.4659204738673971E-2</v>
      </c>
      <c r="S71" s="3">
        <v>3.7651779166666599E-3</v>
      </c>
      <c r="T71" s="3">
        <f>(S71-S67)/S67</f>
        <v>5.5838184436726175E-2</v>
      </c>
      <c r="U71" s="3">
        <v>3.2711175000000002E-3</v>
      </c>
      <c r="V71">
        <f>(U71-U67)/U67</f>
        <v>-5.056482252788274E-2</v>
      </c>
    </row>
    <row r="72" spans="1:22" ht="18" x14ac:dyDescent="0.2">
      <c r="A72" s="1"/>
      <c r="B72" s="13" t="s">
        <v>18</v>
      </c>
      <c r="C72" s="11" t="s">
        <v>26</v>
      </c>
      <c r="D72" s="12">
        <v>60.83</v>
      </c>
      <c r="E72" s="15">
        <v>22887990</v>
      </c>
      <c r="F72" s="3">
        <v>0</v>
      </c>
      <c r="G72" s="18">
        <v>13.9254</v>
      </c>
      <c r="H72" s="18">
        <v>0</v>
      </c>
      <c r="I72" s="20">
        <v>77655742</v>
      </c>
      <c r="J72" s="22">
        <v>0</v>
      </c>
      <c r="K72" s="3">
        <v>0.758552</v>
      </c>
      <c r="L72" s="3">
        <v>0</v>
      </c>
      <c r="M72" s="3">
        <v>0.37662737499999999</v>
      </c>
      <c r="N72" s="3">
        <v>0</v>
      </c>
      <c r="O72" s="3">
        <v>0.51648983333333298</v>
      </c>
      <c r="P72" s="3">
        <v>0</v>
      </c>
      <c r="Q72" s="3">
        <v>8.1733716666666598E-3</v>
      </c>
      <c r="R72" s="3">
        <v>0</v>
      </c>
      <c r="S72" s="3">
        <v>6.8328924999999999E-3</v>
      </c>
      <c r="T72" s="3">
        <v>0</v>
      </c>
      <c r="U72" s="3">
        <v>8.0899089999999993E-3</v>
      </c>
      <c r="V72">
        <v>0</v>
      </c>
    </row>
    <row r="73" spans="1:22" ht="18" x14ac:dyDescent="0.2">
      <c r="A73" s="1"/>
      <c r="B73" s="11" t="s">
        <v>18</v>
      </c>
      <c r="C73" s="11" t="s">
        <v>3</v>
      </c>
      <c r="D73" s="12">
        <v>67.900000000000006</v>
      </c>
      <c r="E73" s="15">
        <v>23870313</v>
      </c>
      <c r="F73" s="3">
        <f>(E73-E72)/E72</f>
        <v>4.2918709768747718E-2</v>
      </c>
      <c r="G73" s="18">
        <v>13.9566</v>
      </c>
      <c r="H73" s="18">
        <f>(G73-G72)/G72</f>
        <v>2.24051014692577E-3</v>
      </c>
      <c r="I73" s="20">
        <v>78898087</v>
      </c>
      <c r="J73" s="22">
        <f>(I73-I72)/I72</f>
        <v>1.5998108678170895E-2</v>
      </c>
      <c r="K73" s="3">
        <v>0.752670333333333</v>
      </c>
      <c r="L73" s="3">
        <f>(K73-K72)/K72</f>
        <v>-7.7538081326883413E-3</v>
      </c>
      <c r="M73" s="3">
        <v>0.37141749999999901</v>
      </c>
      <c r="N73" s="3">
        <f>(M73-M72)/M72</f>
        <v>-1.3832969523261485E-2</v>
      </c>
      <c r="O73" s="3">
        <v>0.51045045833333302</v>
      </c>
      <c r="P73" s="3">
        <f>(O73-O72)/O72</f>
        <v>-1.1693114966122202E-2</v>
      </c>
      <c r="Q73" s="3">
        <v>8.2594783333333303E-3</v>
      </c>
      <c r="R73" s="3">
        <f>(Q73-Q72)/Q72</f>
        <v>1.0535023999684003E-2</v>
      </c>
      <c r="S73" s="3">
        <v>6.9180170833333301E-3</v>
      </c>
      <c r="T73" s="3">
        <f>(S73-S72)/S72</f>
        <v>1.2458059794344813E-2</v>
      </c>
      <c r="U73" s="3">
        <v>8.1674841666666605E-3</v>
      </c>
      <c r="V73">
        <f>(U73-U72)/U72</f>
        <v>9.5891272283360977E-3</v>
      </c>
    </row>
    <row r="74" spans="1:22" ht="18" x14ac:dyDescent="0.2">
      <c r="A74" s="1"/>
      <c r="B74" s="13" t="s">
        <v>18</v>
      </c>
      <c r="C74" s="11" t="s">
        <v>4</v>
      </c>
      <c r="D74" s="12">
        <v>76.12</v>
      </c>
      <c r="E74" s="15">
        <v>24728041</v>
      </c>
      <c r="F74" s="3">
        <f>(E74-E72)/E72</f>
        <v>8.0393734880170778E-2</v>
      </c>
      <c r="G74" s="18">
        <v>13.9754</v>
      </c>
      <c r="H74" s="18">
        <f>(G74-G72)/G72</f>
        <v>3.5905611328938998E-3</v>
      </c>
      <c r="I74" s="20">
        <v>79634458</v>
      </c>
      <c r="J74" s="22">
        <f>(I74-I72)/I72</f>
        <v>2.5480614170166581E-2</v>
      </c>
      <c r="K74" s="3">
        <v>0.74793508333333303</v>
      </c>
      <c r="L74" s="3">
        <f>(K74-K72)/K72</f>
        <v>-1.3996293815937437E-2</v>
      </c>
      <c r="M74" s="3">
        <v>0.36738150000000003</v>
      </c>
      <c r="N74" s="3">
        <f>(M74-M72)/M72</f>
        <v>-2.4549131618486202E-2</v>
      </c>
      <c r="O74" s="3">
        <v>0.506185</v>
      </c>
      <c r="P74" s="3">
        <f>(O74-O72)/O72</f>
        <v>-1.9951667328720557E-2</v>
      </c>
      <c r="Q74" s="3">
        <v>8.4608287499999997E-3</v>
      </c>
      <c r="R74" s="3">
        <f>(Q74-Q72)/Q72</f>
        <v>3.5169951282855744E-2</v>
      </c>
      <c r="S74" s="3">
        <v>7.0035404166666603E-3</v>
      </c>
      <c r="T74" s="3">
        <f>(S74-S72)/S72</f>
        <v>2.4974477011991694E-2</v>
      </c>
      <c r="U74" s="3">
        <v>8.3234795833333295E-3</v>
      </c>
      <c r="V74">
        <f>(U74-U72)/U72</f>
        <v>2.8871843099017584E-2</v>
      </c>
    </row>
    <row r="75" spans="1:22" ht="18" x14ac:dyDescent="0.2">
      <c r="A75" s="1"/>
      <c r="B75" s="11" t="s">
        <v>18</v>
      </c>
      <c r="C75" s="11" t="s">
        <v>5</v>
      </c>
      <c r="D75" s="11">
        <v>88.54</v>
      </c>
      <c r="E75" s="15">
        <v>26495608</v>
      </c>
      <c r="F75" s="3">
        <f>(E75-E72)/E72</f>
        <v>0.15762056869126559</v>
      </c>
      <c r="G75" s="18">
        <v>13.974</v>
      </c>
      <c r="H75" s="18">
        <f>(G75-G72)/G72</f>
        <v>3.4900254211728513E-3</v>
      </c>
      <c r="I75" s="20">
        <v>79903201</v>
      </c>
      <c r="J75" s="22">
        <f t="shared" ref="J75" si="13">(I75-I72)/I72</f>
        <v>2.8941311255515401E-2</v>
      </c>
      <c r="K75" s="3">
        <v>0.74404700000000001</v>
      </c>
      <c r="L75" s="3">
        <f>(K75-K72)/K72</f>
        <v>-1.9121958679167664E-2</v>
      </c>
      <c r="M75" s="3">
        <v>0.36532666666666602</v>
      </c>
      <c r="N75" s="3">
        <f>(M75-M72)/M72</f>
        <v>-3.0005010478417731E-2</v>
      </c>
      <c r="O75" s="3">
        <v>0.50361045833333296</v>
      </c>
      <c r="P75" s="3">
        <f>(O75-O72)/O72</f>
        <v>-2.49363572500137E-2</v>
      </c>
      <c r="Q75" s="3">
        <v>8.8231341666666595E-3</v>
      </c>
      <c r="R75" s="3">
        <f>(Q75-Q72)/Q72</f>
        <v>7.9497486043601365E-2</v>
      </c>
      <c r="S75" s="3">
        <v>7.1047391666666602E-3</v>
      </c>
      <c r="T75" s="3">
        <f>(S75-S72)/S72</f>
        <v>3.9785005642436248E-2</v>
      </c>
      <c r="U75" s="3">
        <v>8.6150866666666603E-3</v>
      </c>
      <c r="V75">
        <f>(U75-U72)/U72</f>
        <v>6.4917623506847988E-2</v>
      </c>
    </row>
    <row r="76" spans="1:22" x14ac:dyDescent="0.2">
      <c r="A76" s="1"/>
      <c r="B76" s="13" t="s">
        <v>18</v>
      </c>
      <c r="C76" s="11" t="s">
        <v>24</v>
      </c>
      <c r="D76" s="14">
        <v>66.22</v>
      </c>
      <c r="E76" s="3">
        <v>30241014</v>
      </c>
      <c r="F76" s="3">
        <f t="shared" si="12"/>
        <v>0.32126123788065269</v>
      </c>
      <c r="G76" s="3">
        <v>14.5534</v>
      </c>
      <c r="H76" s="18">
        <f t="shared" si="8"/>
        <v>4.509744782914675E-2</v>
      </c>
      <c r="I76" s="21">
        <v>78989909</v>
      </c>
      <c r="J76" s="22">
        <f>(I76-I72)/I72</f>
        <v>1.718053250975311E-2</v>
      </c>
      <c r="K76" s="3">
        <v>0.752211291666666</v>
      </c>
      <c r="L76" s="3">
        <f>(K76-K72)/K72</f>
        <v>-8.3589633055268456E-3</v>
      </c>
      <c r="M76" s="3">
        <v>0.36577812500000001</v>
      </c>
      <c r="N76" s="3">
        <f>(M76-M72)/M72</f>
        <v>-2.8806323491488046E-2</v>
      </c>
      <c r="O76" s="3">
        <v>0.505338333333333</v>
      </c>
      <c r="P76" s="3">
        <f>(O76-O72)/O72</f>
        <v>-2.1590938059768177E-2</v>
      </c>
      <c r="Q76" s="3">
        <v>7.8061049999999998E-3</v>
      </c>
      <c r="R76" s="3">
        <f>(Q76-Q72)/Q72</f>
        <v>-4.4934536400012028E-2</v>
      </c>
      <c r="S76" s="3">
        <v>6.8979191666666603E-3</v>
      </c>
      <c r="T76" s="3">
        <f>(S76-S72)/S72</f>
        <v>9.5167115049242159E-3</v>
      </c>
      <c r="U76" s="3">
        <v>7.8233379166666606E-3</v>
      </c>
      <c r="V76">
        <f>(U76-U72)/U72</f>
        <v>-3.2951060800973E-2</v>
      </c>
    </row>
    <row r="77" spans="1:22" ht="18" x14ac:dyDescent="0.2">
      <c r="A77" s="1"/>
      <c r="B77" s="11" t="s">
        <v>19</v>
      </c>
      <c r="C77" s="11" t="s">
        <v>26</v>
      </c>
      <c r="D77" s="12">
        <v>65.94</v>
      </c>
      <c r="E77" s="15">
        <v>26796466</v>
      </c>
      <c r="F77" s="3">
        <v>0</v>
      </c>
      <c r="G77" s="18">
        <v>14.827299999999999</v>
      </c>
      <c r="H77" s="18">
        <v>0</v>
      </c>
      <c r="I77" s="20">
        <v>92777171</v>
      </c>
      <c r="J77" s="22">
        <v>0</v>
      </c>
      <c r="K77" s="3">
        <v>0.71047741666666597</v>
      </c>
      <c r="L77" s="3">
        <v>0</v>
      </c>
      <c r="M77" s="3">
        <v>0.35062554166666599</v>
      </c>
      <c r="N77" s="3">
        <v>0</v>
      </c>
      <c r="O77" s="3">
        <v>0.46251949999999997</v>
      </c>
      <c r="P77" s="3">
        <v>0</v>
      </c>
      <c r="Q77" s="3">
        <v>9.0925745833333304E-3</v>
      </c>
      <c r="R77" s="3">
        <v>0</v>
      </c>
      <c r="S77" s="3">
        <v>7.81234791666666E-3</v>
      </c>
      <c r="T77" s="3">
        <v>0</v>
      </c>
      <c r="U77" s="3">
        <v>8.9415862499999995E-3</v>
      </c>
      <c r="V77">
        <v>0</v>
      </c>
    </row>
    <row r="78" spans="1:22" ht="18" x14ac:dyDescent="0.2">
      <c r="A78" s="1"/>
      <c r="B78" s="11" t="s">
        <v>19</v>
      </c>
      <c r="C78" s="11" t="s">
        <v>3</v>
      </c>
      <c r="D78" s="11">
        <v>73.77</v>
      </c>
      <c r="E78" s="15">
        <v>27593915</v>
      </c>
      <c r="F78" s="3">
        <f>(E78-E77)/E77</f>
        <v>2.9759483955832087E-2</v>
      </c>
      <c r="G78" s="18">
        <v>14.8712</v>
      </c>
      <c r="H78" s="18">
        <f>(G78-G77)/G77</f>
        <v>2.9607548238722303E-3</v>
      </c>
      <c r="I78" s="20">
        <v>93916844</v>
      </c>
      <c r="J78" s="22">
        <f>(I78-I77)/I77</f>
        <v>1.2283980937508862E-2</v>
      </c>
      <c r="K78" s="3">
        <v>0.703716708333333</v>
      </c>
      <c r="L78" s="3">
        <f>(K78-K77)/K77</f>
        <v>-9.5157258693064021E-3</v>
      </c>
      <c r="M78" s="3">
        <v>0.34580154166666599</v>
      </c>
      <c r="N78" s="3">
        <f>(M78-M77)/M77</f>
        <v>-1.3758267515451266E-2</v>
      </c>
      <c r="O78" s="3">
        <v>0.45688000000000001</v>
      </c>
      <c r="P78" s="3">
        <f>(O78-O77)/O77</f>
        <v>-1.2192999430294213E-2</v>
      </c>
      <c r="Q78" s="3">
        <v>9.2708854166666608E-3</v>
      </c>
      <c r="R78" s="3">
        <f>(Q78-Q77)/Q77</f>
        <v>1.9610598923232785E-2</v>
      </c>
      <c r="S78" s="3">
        <v>8.0475599999999901E-3</v>
      </c>
      <c r="T78" s="3">
        <f t="shared" ref="T68:T101" si="14">(S78-S77)/S77</f>
        <v>3.0107732763864081E-2</v>
      </c>
      <c r="U78">
        <v>9.1105454166666607E-3</v>
      </c>
      <c r="V78">
        <f>(U78-U77)/U77</f>
        <v>1.8895882894006771E-2</v>
      </c>
    </row>
    <row r="79" spans="1:22" ht="18" x14ac:dyDescent="0.2">
      <c r="A79" s="1"/>
      <c r="B79" s="11" t="s">
        <v>19</v>
      </c>
      <c r="C79" s="11" t="s">
        <v>4</v>
      </c>
      <c r="D79" s="11">
        <v>80.98</v>
      </c>
      <c r="E79" s="15">
        <v>28197423</v>
      </c>
      <c r="F79" s="3">
        <f>(E79-E77)/E77</f>
        <v>5.2281409048491691E-2</v>
      </c>
      <c r="G79" s="18">
        <v>14.893800000000001</v>
      </c>
      <c r="H79" s="18">
        <f>(G79-G77)/G77</f>
        <v>4.4849702912871086E-3</v>
      </c>
      <c r="I79" s="20">
        <v>94505717</v>
      </c>
      <c r="J79" s="22">
        <f>(I79-I77)/I77</f>
        <v>1.8631156580534235E-2</v>
      </c>
      <c r="K79" s="3">
        <v>0.69901637499999902</v>
      </c>
      <c r="L79" s="3">
        <f>(K79-K77)/K77</f>
        <v>-1.6131465121633999E-2</v>
      </c>
      <c r="M79" s="3">
        <v>0.34337108333333299</v>
      </c>
      <c r="N79" s="3">
        <f>(M79-M77)/M77</f>
        <v>-2.0690045279786511E-2</v>
      </c>
      <c r="O79" s="3">
        <v>0.45375120833333299</v>
      </c>
      <c r="P79" s="3">
        <f>(O79-O77)/O77</f>
        <v>-1.89576691721473E-2</v>
      </c>
      <c r="Q79" s="3">
        <v>9.3869812500000007E-3</v>
      </c>
      <c r="R79" s="3">
        <f>(Q79-Q77)/Q77</f>
        <v>3.2378801402005226E-2</v>
      </c>
      <c r="S79" s="3">
        <v>8.0957349999999997E-3</v>
      </c>
      <c r="T79" s="3">
        <f>(S79-S77)/S77</f>
        <v>3.6274252805455466E-2</v>
      </c>
      <c r="U79" s="3">
        <v>9.1899991666666604E-3</v>
      </c>
      <c r="V79">
        <f>(U79-U77)/U77</f>
        <v>2.7781750320493855E-2</v>
      </c>
    </row>
    <row r="80" spans="1:22" ht="18" x14ac:dyDescent="0.2">
      <c r="A80" s="1"/>
      <c r="B80" s="11" t="s">
        <v>19</v>
      </c>
      <c r="C80" s="11" t="s">
        <v>5</v>
      </c>
      <c r="D80" s="12">
        <v>90.95</v>
      </c>
      <c r="E80" s="15">
        <v>29391299</v>
      </c>
      <c r="F80" s="3">
        <f>(E80-E77)/E77</f>
        <v>9.6834896064279516E-2</v>
      </c>
      <c r="G80" s="18">
        <v>14.881500000000001</v>
      </c>
      <c r="H80" s="18">
        <f>(G80-G77)/G77</f>
        <v>3.6554193953047139E-3</v>
      </c>
      <c r="I80" s="20">
        <v>94469700</v>
      </c>
      <c r="J80" s="22">
        <f>(I80-I77)/I77</f>
        <v>1.8242946855967401E-2</v>
      </c>
      <c r="K80" s="3">
        <v>0.69535370833333299</v>
      </c>
      <c r="L80" s="3">
        <f>(K80-K77)/K77</f>
        <v>-2.128668410642609E-2</v>
      </c>
      <c r="M80" s="3">
        <v>0.34285520833333299</v>
      </c>
      <c r="N80" s="3">
        <f>(M80-M77)/M77</f>
        <v>-2.2161344254606873E-2</v>
      </c>
      <c r="O80" s="3">
        <v>0.34285520833333299</v>
      </c>
      <c r="P80" s="3">
        <f>(O80-O77)/O77</f>
        <v>-0.25872269529537023</v>
      </c>
      <c r="Q80" s="3">
        <v>9.6086012499999995E-3</v>
      </c>
      <c r="R80" s="3">
        <f>(Q80-Q77)/Q77</f>
        <v>5.6752536032263608E-2</v>
      </c>
      <c r="S80" s="3">
        <v>8.0878183333333298E-3</v>
      </c>
      <c r="T80" s="3">
        <f>(S80-S77)/S77</f>
        <v>3.5260899745515474E-2</v>
      </c>
      <c r="U80" s="3">
        <v>9.3234366666666603E-3</v>
      </c>
      <c r="V80">
        <f>(U80-U77)/U77</f>
        <v>4.2704997300301258E-2</v>
      </c>
    </row>
    <row r="81" spans="1:22" x14ac:dyDescent="0.2">
      <c r="A81" s="1"/>
      <c r="B81" s="11" t="s">
        <v>19</v>
      </c>
      <c r="C81" s="11" t="s">
        <v>24</v>
      </c>
      <c r="D81" s="14">
        <v>69.569999999999993</v>
      </c>
      <c r="E81" s="3">
        <v>33424717</v>
      </c>
      <c r="F81" s="3">
        <f t="shared" si="12"/>
        <v>0.24735541619555354</v>
      </c>
      <c r="G81" s="3">
        <v>15.5557</v>
      </c>
      <c r="H81" s="18">
        <f>(G81-G77)/G77</f>
        <v>4.9125599401104759E-2</v>
      </c>
      <c r="I81" s="21">
        <v>93961264</v>
      </c>
      <c r="J81" s="22">
        <f>(I81-I77)/I77</f>
        <v>1.276276251191147E-2</v>
      </c>
      <c r="K81" s="3">
        <v>0.70344341666666599</v>
      </c>
      <c r="L81" s="3">
        <f>(K81-K77)/K77</f>
        <v>-9.9003850579815408E-3</v>
      </c>
      <c r="M81" s="3">
        <v>0.33888999999999903</v>
      </c>
      <c r="N81" s="3">
        <f>(M81-M77)/M77</f>
        <v>-3.3470298857530889E-2</v>
      </c>
      <c r="O81" s="3">
        <v>0.45136537500000001</v>
      </c>
      <c r="P81" s="3">
        <f>(O81-O77)/O77</f>
        <v>-2.4116010243892334E-2</v>
      </c>
      <c r="Q81" s="3">
        <v>8.4991758333333306E-3</v>
      </c>
      <c r="R81" s="3">
        <f>(Q81-Q77)/Q77</f>
        <v>-6.5261906246850965E-2</v>
      </c>
      <c r="S81" s="3">
        <v>7.9211587499999903E-3</v>
      </c>
      <c r="T81" s="3">
        <f>(S81-S77)/S77</f>
        <v>1.3928057799524784E-2</v>
      </c>
      <c r="U81" s="3">
        <v>8.4720504166666596E-3</v>
      </c>
      <c r="V81">
        <f>(U81-U77)/U77</f>
        <v>-5.2511469464754081E-2</v>
      </c>
    </row>
    <row r="82" spans="1:22" ht="18" x14ac:dyDescent="0.2">
      <c r="A82" s="1"/>
      <c r="B82" s="11" t="s">
        <v>20</v>
      </c>
      <c r="C82" s="11" t="s">
        <v>26</v>
      </c>
      <c r="D82" s="12">
        <v>74.819999999999993</v>
      </c>
      <c r="E82" s="15">
        <v>24707085</v>
      </c>
      <c r="F82" s="3">
        <v>0</v>
      </c>
      <c r="G82" s="18">
        <v>16.0776</v>
      </c>
      <c r="H82" s="18">
        <v>0</v>
      </c>
      <c r="I82" s="20">
        <v>86722955</v>
      </c>
      <c r="J82" s="22">
        <v>0</v>
      </c>
      <c r="K82" s="3">
        <v>0.71957329166666595</v>
      </c>
      <c r="L82" s="3">
        <v>0</v>
      </c>
      <c r="M82" s="3">
        <v>0.32461358333333301</v>
      </c>
      <c r="N82" s="3">
        <v>0</v>
      </c>
      <c r="O82" s="3">
        <v>0.459935916666666</v>
      </c>
      <c r="P82" s="3">
        <v>0</v>
      </c>
      <c r="Q82" s="3">
        <v>3.0196329166666601E-3</v>
      </c>
      <c r="R82" s="3">
        <v>0</v>
      </c>
      <c r="S82" s="3">
        <v>3.0642408333333301E-3</v>
      </c>
      <c r="T82" s="3">
        <v>0</v>
      </c>
      <c r="U82" s="3">
        <v>2.9436766666666599E-3</v>
      </c>
      <c r="V82">
        <v>0</v>
      </c>
    </row>
    <row r="83" spans="1:22" ht="18" x14ac:dyDescent="0.2">
      <c r="A83" s="1"/>
      <c r="B83" s="11" t="s">
        <v>20</v>
      </c>
      <c r="C83" s="11" t="s">
        <v>3</v>
      </c>
      <c r="D83" s="11">
        <v>79.599999999999994</v>
      </c>
      <c r="E83" s="15">
        <v>25374921</v>
      </c>
      <c r="F83" s="3">
        <f>(E83-E82)/E82</f>
        <v>2.7030141354190507E-2</v>
      </c>
      <c r="G83" s="18">
        <v>16.1281</v>
      </c>
      <c r="H83" s="18">
        <f>(G83-G82)/G82</f>
        <v>3.1410160720505265E-3</v>
      </c>
      <c r="I83" s="20">
        <v>87913538</v>
      </c>
      <c r="J83" s="22">
        <f>(I83-I82)/I82</f>
        <v>1.3728579705338684E-2</v>
      </c>
      <c r="K83" s="3">
        <v>0.71365066666666599</v>
      </c>
      <c r="L83" s="3">
        <f>(K83-K82)/K82</f>
        <v>-8.2307460109894513E-3</v>
      </c>
      <c r="M83" s="3">
        <v>0.32154179166666602</v>
      </c>
      <c r="N83" s="3">
        <f>(M83-M82)/M82</f>
        <v>-9.462917833332583E-3</v>
      </c>
      <c r="O83" s="3">
        <v>0.455265958333333</v>
      </c>
      <c r="P83" s="3">
        <f>(O83-O82)/O82</f>
        <v>-1.015349783330252E-2</v>
      </c>
      <c r="Q83" s="3">
        <v>3.0578554166666599E-3</v>
      </c>
      <c r="R83" s="3">
        <f>(Q83-Q82)/Q82</f>
        <v>1.2657995542780485E-2</v>
      </c>
      <c r="S83" s="3">
        <v>3.12971958333333E-3</v>
      </c>
      <c r="T83" s="3">
        <f>(S83-S82)/S82</f>
        <v>2.1368669618820758E-2</v>
      </c>
      <c r="U83" s="3">
        <v>2.9691549999999998E-3</v>
      </c>
      <c r="V83">
        <f>(U83-U82)/U82</f>
        <v>8.6552757719110703E-3</v>
      </c>
    </row>
    <row r="84" spans="1:22" ht="18" x14ac:dyDescent="0.2">
      <c r="A84" s="1"/>
      <c r="B84" s="11" t="s">
        <v>20</v>
      </c>
      <c r="C84" s="11" t="s">
        <v>4</v>
      </c>
      <c r="D84" s="11">
        <v>84.96</v>
      </c>
      <c r="E84" s="15">
        <v>23225203</v>
      </c>
      <c r="F84" s="3">
        <f>(E84-E82)/E82</f>
        <v>-5.9978018450982787E-2</v>
      </c>
      <c r="G84" s="18">
        <v>16.159600000000001</v>
      </c>
      <c r="H84" s="18">
        <f>(G84-G82)/G82</f>
        <v>5.1002637209534218E-3</v>
      </c>
      <c r="I84" s="20">
        <v>80317360</v>
      </c>
      <c r="J84" s="22">
        <f>(I84-I82)/I82</f>
        <v>-7.3862739109846989E-2</v>
      </c>
      <c r="K84" s="3">
        <v>0.73934612499999997</v>
      </c>
      <c r="L84" s="3">
        <f>(K84-K82)/K82</f>
        <v>2.7478553696089036E-2</v>
      </c>
      <c r="M84" s="3">
        <v>0.3870595</v>
      </c>
      <c r="N84" s="3">
        <f>(M84-M82)/M82</f>
        <v>0.19237000505472907</v>
      </c>
      <c r="O84" s="3">
        <v>0.505335125</v>
      </c>
      <c r="P84" s="3">
        <f>(O84-O82)/O82</f>
        <v>9.8707682284000925E-2</v>
      </c>
      <c r="Q84" s="3">
        <v>3.1265544156776999E-3</v>
      </c>
      <c r="R84" s="3">
        <f>(Q84-Q82)/Q82</f>
        <v>3.5408773835022729E-2</v>
      </c>
      <c r="S84" s="3">
        <v>3.1004135655555501E-3</v>
      </c>
      <c r="T84" s="3">
        <f>(S84-S82)/S82</f>
        <v>1.1804794136520518E-2</v>
      </c>
      <c r="U84" s="3">
        <v>3.0984660088888799E-3</v>
      </c>
      <c r="V84">
        <f>(U84-U82)/U82</f>
        <v>5.2583676724760414E-2</v>
      </c>
    </row>
    <row r="85" spans="1:22" ht="18" x14ac:dyDescent="0.2">
      <c r="A85" s="1"/>
      <c r="B85" s="11" t="s">
        <v>20</v>
      </c>
      <c r="C85" s="11" t="s">
        <v>5</v>
      </c>
      <c r="D85" s="12">
        <v>92.73</v>
      </c>
      <c r="E85" s="15">
        <v>26924607</v>
      </c>
      <c r="F85" s="3">
        <f>(E85-E82)/E82</f>
        <v>8.9752473834934399E-2</v>
      </c>
      <c r="G85" s="18">
        <v>16.168700000000001</v>
      </c>
      <c r="H85" s="18">
        <f>(G85-G82)/G82</f>
        <v>5.6662685973031326E-3</v>
      </c>
      <c r="I85" s="20">
        <v>88680404</v>
      </c>
      <c r="J85" s="22">
        <f>(I85-I82)/I82</f>
        <v>2.2571290380960844E-2</v>
      </c>
      <c r="K85" s="3">
        <v>0.70620937500000003</v>
      </c>
      <c r="L85" s="3">
        <f>(K85-K82)/K82</f>
        <v>-1.8572002075997841E-2</v>
      </c>
      <c r="M85" s="3">
        <v>0.31917091666666603</v>
      </c>
      <c r="N85" s="3">
        <f>(M85-M82)/M82</f>
        <v>-1.6766601726207257E-2</v>
      </c>
      <c r="O85" s="3">
        <v>0.45092491666666601</v>
      </c>
      <c r="P85" s="3">
        <f>(O85-O82)/O82</f>
        <v>-1.959185980800587E-2</v>
      </c>
      <c r="Q85" s="3">
        <v>3.38343124999999E-3</v>
      </c>
      <c r="R85" s="3">
        <f>(Q85-Q82)/Q82</f>
        <v>0.12047766843624257</v>
      </c>
      <c r="S85" s="3">
        <v>3.1780587500000001E-3</v>
      </c>
      <c r="T85" s="3">
        <f>(S85-S82)/S82</f>
        <v>3.7143920095489731E-2</v>
      </c>
      <c r="U85" s="3">
        <v>3.18651291666666E-3</v>
      </c>
      <c r="V85">
        <f>(U85-U82)/U82</f>
        <v>8.2494199430870677E-2</v>
      </c>
    </row>
    <row r="86" spans="1:22" x14ac:dyDescent="0.2">
      <c r="A86" s="1"/>
      <c r="B86" s="11" t="s">
        <v>20</v>
      </c>
      <c r="C86" s="11" t="s">
        <v>24</v>
      </c>
      <c r="D86" s="14">
        <v>77.47</v>
      </c>
      <c r="E86" s="3">
        <v>31076118</v>
      </c>
      <c r="F86" s="3">
        <f t="shared" si="12"/>
        <v>0.25778164441495222</v>
      </c>
      <c r="G86" s="3">
        <v>16.9712</v>
      </c>
      <c r="H86" s="18">
        <f t="shared" si="8"/>
        <v>5.558043489077967E-2</v>
      </c>
      <c r="I86" s="21">
        <v>88523200</v>
      </c>
      <c r="J86" s="22">
        <f t="shared" ref="J86:J91" si="15">(I86-I82)/I82</f>
        <v>2.0758575396790848E-2</v>
      </c>
      <c r="K86" s="3">
        <v>0.71251429166666602</v>
      </c>
      <c r="L86" s="3">
        <f>(K86-K82)/K82</f>
        <v>-9.8099805561848545E-3</v>
      </c>
      <c r="M86" s="3">
        <v>0.31373641666666602</v>
      </c>
      <c r="N86" s="3">
        <f>(M86-M82)/M82</f>
        <v>-3.3508045334928745E-2</v>
      </c>
      <c r="O86" s="3">
        <v>0.448646874999999</v>
      </c>
      <c r="P86" s="3">
        <f>(O86-O82)/O82</f>
        <v>-2.4544814304747198E-2</v>
      </c>
      <c r="Q86" s="3">
        <v>2.8132329166666598E-3</v>
      </c>
      <c r="R86" s="3">
        <f>(Q86-Q82)/Q82</f>
        <v>-6.835267918189307E-2</v>
      </c>
      <c r="S86" s="3">
        <v>3.2916470833333298E-3</v>
      </c>
      <c r="T86" s="3">
        <f>(S86-S82)/S82</f>
        <v>7.4212916793691963E-2</v>
      </c>
      <c r="U86" s="3">
        <v>2.80797208333333E-3</v>
      </c>
      <c r="V86">
        <f>(U86-U82)/U82</f>
        <v>-4.6100369945520595E-2</v>
      </c>
    </row>
    <row r="87" spans="1:22" ht="18" x14ac:dyDescent="0.2">
      <c r="A87" s="1"/>
      <c r="B87" s="11" t="s">
        <v>21</v>
      </c>
      <c r="C87" s="11" t="s">
        <v>26</v>
      </c>
      <c r="D87" s="12">
        <v>87.84</v>
      </c>
      <c r="E87" s="15">
        <v>55811813</v>
      </c>
      <c r="F87" s="3">
        <v>0</v>
      </c>
      <c r="G87" s="18">
        <v>20.6128</v>
      </c>
      <c r="H87" s="18">
        <v>0</v>
      </c>
      <c r="I87" s="20">
        <v>132556824</v>
      </c>
      <c r="J87" s="22">
        <v>0</v>
      </c>
      <c r="K87" s="3">
        <v>0.57742166666666594</v>
      </c>
      <c r="L87" s="3">
        <v>0</v>
      </c>
      <c r="M87" s="3">
        <v>0.23866933333333301</v>
      </c>
      <c r="N87" s="3">
        <v>0</v>
      </c>
      <c r="O87" s="3">
        <v>0.32772104166666599</v>
      </c>
      <c r="P87" s="3">
        <v>0</v>
      </c>
      <c r="Q87" s="3">
        <v>1.123039E-2</v>
      </c>
      <c r="R87" s="3">
        <v>0</v>
      </c>
      <c r="S87" s="3">
        <v>7.9422774999999904E-3</v>
      </c>
      <c r="T87" s="3">
        <v>0</v>
      </c>
      <c r="U87" s="3">
        <v>1.0027186666666601E-2</v>
      </c>
      <c r="V87">
        <v>0</v>
      </c>
    </row>
    <row r="88" spans="1:22" ht="18" x14ac:dyDescent="0.2">
      <c r="A88" s="1"/>
      <c r="B88" s="11" t="s">
        <v>21</v>
      </c>
      <c r="C88" s="11" t="s">
        <v>3</v>
      </c>
      <c r="D88" s="12">
        <v>92.29</v>
      </c>
      <c r="E88" s="15">
        <v>55767472</v>
      </c>
      <c r="F88" s="3">
        <f>(E88-E87)/E87</f>
        <v>-7.94473385052014E-4</v>
      </c>
      <c r="G88" s="18">
        <v>20.6676</v>
      </c>
      <c r="H88" s="18">
        <f>(G88-G87)/G87</f>
        <v>2.6585422650003969E-3</v>
      </c>
      <c r="I88" s="20">
        <v>133012493</v>
      </c>
      <c r="J88" s="22">
        <f>(I88-I87)/I87</f>
        <v>3.4375370972979861E-3</v>
      </c>
      <c r="K88" s="3">
        <v>0.57364491666666595</v>
      </c>
      <c r="L88" s="3">
        <f>(K88-K87)/K87</f>
        <v>-6.5407140362473415E-3</v>
      </c>
      <c r="M88" s="3">
        <v>0.23851054166666599</v>
      </c>
      <c r="N88" s="3">
        <f>(M88-M87)/M87</f>
        <v>-6.6532077854026281E-4</v>
      </c>
      <c r="O88" s="3">
        <v>0.32657208333333299</v>
      </c>
      <c r="P88" s="3">
        <f>(O88-O87)/O87</f>
        <v>-3.5059034582882913E-3</v>
      </c>
      <c r="Q88" s="3">
        <v>1.12763583333333E-2</v>
      </c>
      <c r="R88" s="3">
        <f>(Q88-Q87)/Q87</f>
        <v>4.0932089921454726E-3</v>
      </c>
      <c r="S88" s="3">
        <v>7.9975929166666605E-3</v>
      </c>
      <c r="T88" s="3">
        <f>(S88-S87)/S87</f>
        <v>6.9646794218245593E-3</v>
      </c>
      <c r="U88" s="3">
        <v>1.0067638749999899E-2</v>
      </c>
      <c r="V88">
        <f>(U88-U87)/U87</f>
        <v>4.0342405779452972E-3</v>
      </c>
    </row>
    <row r="89" spans="1:22" ht="18" x14ac:dyDescent="0.2">
      <c r="A89" s="1"/>
      <c r="B89" s="11" t="s">
        <v>21</v>
      </c>
      <c r="C89" s="11" t="s">
        <v>4</v>
      </c>
      <c r="D89" s="12">
        <v>94.37</v>
      </c>
      <c r="E89" s="15">
        <v>55909792</v>
      </c>
      <c r="F89" s="3">
        <f>(E89-E87)/E87</f>
        <v>1.755524408425865E-3</v>
      </c>
      <c r="G89" s="18">
        <v>20.701000000000001</v>
      </c>
      <c r="H89" s="18">
        <f>(G89-G87)/G87</f>
        <v>4.2788946673911598E-3</v>
      </c>
      <c r="I89" s="20">
        <v>133224925</v>
      </c>
      <c r="J89" s="22">
        <f>(I89-I87)/I87</f>
        <v>5.0401101945532429E-3</v>
      </c>
      <c r="K89" s="3">
        <v>0.505335125</v>
      </c>
      <c r="L89" s="3">
        <f>(K89-K87)/K87</f>
        <v>-0.124842114226171</v>
      </c>
      <c r="M89" s="3">
        <v>0.238431583333333</v>
      </c>
      <c r="N89" s="3">
        <f>(M89-M87)/M87</f>
        <v>-9.9614808773090141E-4</v>
      </c>
      <c r="O89" s="3">
        <v>0.325878</v>
      </c>
      <c r="P89" s="3">
        <f>(O89-O87)/O87</f>
        <v>-5.6238124268523405E-3</v>
      </c>
      <c r="Q89" s="3">
        <v>1.13349145833333E-2</v>
      </c>
      <c r="R89" s="3">
        <f>(Q89-Q87)/Q87</f>
        <v>9.3072977281554777E-3</v>
      </c>
      <c r="S89" s="3">
        <v>8.0405154166666593E-3</v>
      </c>
      <c r="T89" s="3">
        <f>(S89-S87)/S87</f>
        <v>1.2368985680325203E-2</v>
      </c>
      <c r="U89" s="3">
        <v>1.0117627083333299E-2</v>
      </c>
      <c r="V89">
        <f>(U89-U87)/U87</f>
        <v>9.0195205966744005E-3</v>
      </c>
    </row>
    <row r="90" spans="1:22" ht="18" x14ac:dyDescent="0.2">
      <c r="A90" s="1"/>
      <c r="B90" s="11" t="s">
        <v>21</v>
      </c>
      <c r="C90" s="11" t="s">
        <v>5</v>
      </c>
      <c r="D90" s="12">
        <v>97.09</v>
      </c>
      <c r="E90" s="15">
        <v>56312048</v>
      </c>
      <c r="F90" s="3">
        <f>(E90-E87)/E87</f>
        <v>8.9628874804694118E-3</v>
      </c>
      <c r="G90" s="18">
        <v>20.741299999999999</v>
      </c>
      <c r="H90" s="18">
        <f>(G90-G87)/G87</f>
        <v>6.2339905301559686E-3</v>
      </c>
      <c r="I90" s="20">
        <v>133406493</v>
      </c>
      <c r="J90" s="22">
        <f>(I90-I87)/I87</f>
        <v>6.4098472968845419E-3</v>
      </c>
      <c r="K90" s="3">
        <v>0.56934795833333296</v>
      </c>
      <c r="L90" s="3">
        <f>(K90-K87)/K87</f>
        <v>-1.3982343925438075E-2</v>
      </c>
      <c r="M90" s="3">
        <v>0.23841204166666599</v>
      </c>
      <c r="N90" s="3">
        <f>(M90-M87)/M87</f>
        <v>-1.0780256645191966E-3</v>
      </c>
      <c r="O90" s="3">
        <v>0.32541608333333299</v>
      </c>
      <c r="P90" s="3">
        <f>(O90-O87)/O87</f>
        <v>-7.0332936866392363E-3</v>
      </c>
      <c r="Q90" s="3">
        <v>1.14042766666666E-2</v>
      </c>
      <c r="R90" s="3">
        <f>(Q90-Q87)/Q87</f>
        <v>1.5483582196753651E-2</v>
      </c>
      <c r="S90" s="3">
        <v>8.0578995833333299E-3</v>
      </c>
      <c r="T90" s="3">
        <f>(S90-S87)/S87</f>
        <v>1.4557799489295057E-2</v>
      </c>
      <c r="U90" s="3">
        <v>1.01613045833333E-2</v>
      </c>
      <c r="V90">
        <f>(U90-U87)/U87</f>
        <v>1.3375428335501842E-2</v>
      </c>
    </row>
    <row r="91" spans="1:22" x14ac:dyDescent="0.2">
      <c r="A91" s="1"/>
      <c r="B91" s="11" t="s">
        <v>21</v>
      </c>
      <c r="C91" s="11" t="s">
        <v>24</v>
      </c>
      <c r="D91" s="14">
        <v>91.02</v>
      </c>
      <c r="E91" s="3">
        <v>65928486</v>
      </c>
      <c r="F91" s="3">
        <f>(E91-E87)/E87</f>
        <v>0.18126400946695639</v>
      </c>
      <c r="G91" s="3">
        <v>21.748100000000001</v>
      </c>
      <c r="H91" s="18">
        <f t="shared" si="8"/>
        <v>5.5077427617790928E-2</v>
      </c>
      <c r="I91" s="21">
        <v>133432217</v>
      </c>
      <c r="J91" s="22">
        <f t="shared" si="15"/>
        <v>6.6039074683925739E-3</v>
      </c>
      <c r="K91" s="3">
        <v>0.57132337499999897</v>
      </c>
      <c r="L91" s="3">
        <f>(K91-K87)/K87</f>
        <v>-1.0561244959634326E-2</v>
      </c>
      <c r="M91" s="3">
        <v>0.231269375</v>
      </c>
      <c r="N91" s="3">
        <f>(M91-M87)/M87</f>
        <v>-3.1005065585858072E-2</v>
      </c>
      <c r="O91" s="3">
        <v>0.32062216666666599</v>
      </c>
      <c r="P91" s="3">
        <f>(O91-O87)/O87</f>
        <v>-2.1661334175852108E-2</v>
      </c>
      <c r="Q91" s="3">
        <v>1.08671104166666E-2</v>
      </c>
      <c r="R91" s="3">
        <f>(Q91-Q87)/Q87</f>
        <v>-3.2347904510297509E-2</v>
      </c>
      <c r="S91" s="3">
        <v>8.1114670833333305E-3</v>
      </c>
      <c r="T91" s="3">
        <f>(S91-S87)/S87</f>
        <v>2.1302401399767298E-2</v>
      </c>
      <c r="U91" s="3">
        <v>9.8894104166666608E-3</v>
      </c>
      <c r="V91">
        <f>(U91-U87)/U87</f>
        <v>-1.3740269786534439E-2</v>
      </c>
    </row>
    <row r="92" spans="1:22" ht="18" x14ac:dyDescent="0.2">
      <c r="A92" s="1"/>
      <c r="B92" s="11" t="s">
        <v>22</v>
      </c>
      <c r="C92" s="11" t="s">
        <v>26</v>
      </c>
      <c r="D92" s="11">
        <v>94.74</v>
      </c>
      <c r="E92" s="15">
        <v>72749977</v>
      </c>
      <c r="F92" s="3">
        <v>0</v>
      </c>
      <c r="G92" s="18">
        <v>27.7028</v>
      </c>
      <c r="H92" s="18">
        <v>0</v>
      </c>
      <c r="I92" s="20">
        <v>182636678</v>
      </c>
      <c r="J92" s="22">
        <v>0</v>
      </c>
      <c r="K92" s="3">
        <v>0.45130262500000001</v>
      </c>
      <c r="L92" s="3">
        <v>0</v>
      </c>
      <c r="M92" s="3">
        <v>0.20173574999999999</v>
      </c>
      <c r="N92" s="3">
        <v>0</v>
      </c>
      <c r="O92" s="3">
        <v>0.26302145833333301</v>
      </c>
      <c r="P92" s="3">
        <v>0</v>
      </c>
      <c r="Q92" s="3">
        <v>3.9989079166666596E-3</v>
      </c>
      <c r="R92" s="3">
        <v>0</v>
      </c>
      <c r="S92" s="3">
        <v>2.7836225000000001E-3</v>
      </c>
      <c r="T92" s="3">
        <v>0</v>
      </c>
      <c r="U92" s="3">
        <v>2.5478387499999998E-3</v>
      </c>
      <c r="V92">
        <v>0</v>
      </c>
    </row>
    <row r="93" spans="1:22" ht="18" x14ac:dyDescent="0.2">
      <c r="A93" s="1"/>
      <c r="B93" s="11" t="s">
        <v>22</v>
      </c>
      <c r="C93" s="11" t="s">
        <v>3</v>
      </c>
      <c r="D93" s="12">
        <v>96.07</v>
      </c>
      <c r="E93" s="15">
        <v>73235367</v>
      </c>
      <c r="F93" s="3">
        <f>(E93-E92)/E92</f>
        <v>6.6720296007791178E-3</v>
      </c>
      <c r="G93" s="18">
        <v>27.8126</v>
      </c>
      <c r="H93" s="18">
        <f>(G93-G92)/G92</f>
        <v>3.9634982745426414E-3</v>
      </c>
      <c r="I93" s="20">
        <v>182929622</v>
      </c>
      <c r="J93" s="22">
        <f>(I93-I92)/I92</f>
        <v>1.6039713556331768E-3</v>
      </c>
      <c r="K93" s="3">
        <v>0.45053062500000002</v>
      </c>
      <c r="L93" s="3">
        <f>(K93-K92)/K92</f>
        <v>-1.710603832627818E-3</v>
      </c>
      <c r="M93" s="3">
        <v>0.20260683333333299</v>
      </c>
      <c r="N93" s="3">
        <f>(M93-M92)/M92</f>
        <v>4.3179423247143595E-3</v>
      </c>
      <c r="O93" s="3">
        <v>0.263375624999999</v>
      </c>
      <c r="P93" s="3">
        <f>(O93-O92)/O92</f>
        <v>1.3465314537840706E-3</v>
      </c>
      <c r="Q93" s="3">
        <v>3.9216954166666597E-3</v>
      </c>
      <c r="R93" s="3">
        <f>(Q93-Q92)/Q92</f>
        <v>-1.9308396594528567E-2</v>
      </c>
      <c r="S93" s="3">
        <v>2.7440708333333298E-3</v>
      </c>
      <c r="T93" s="3">
        <f>(S93-S92)/S92</f>
        <v>-1.4208703467036317E-2</v>
      </c>
      <c r="U93" s="3">
        <v>2.4942283333333299E-3</v>
      </c>
      <c r="V93">
        <f>(U93-U92)/U92</f>
        <v>-2.1041526535645109E-2</v>
      </c>
    </row>
    <row r="94" spans="1:22" ht="18" x14ac:dyDescent="0.2">
      <c r="A94" s="1"/>
      <c r="B94" s="11" t="s">
        <v>22</v>
      </c>
      <c r="C94" s="11" t="s">
        <v>4</v>
      </c>
      <c r="D94" s="12">
        <v>97.32</v>
      </c>
      <c r="E94" s="15">
        <v>73342162</v>
      </c>
      <c r="F94" s="3">
        <f>(E94-E92)/E92</f>
        <v>8.1400025734716039E-3</v>
      </c>
      <c r="G94" s="18">
        <v>27.848500000000001</v>
      </c>
      <c r="H94" s="18">
        <f>(G94-G92)/G92</f>
        <v>5.2593961621208501E-3</v>
      </c>
      <c r="I94" s="20">
        <v>182898479</v>
      </c>
      <c r="J94" s="22">
        <f>(I94-I92)/I92</f>
        <v>1.4334524853764586E-3</v>
      </c>
      <c r="K94" s="3">
        <v>0.44976883333333301</v>
      </c>
      <c r="L94" s="3">
        <f>(K94-K92)/K92</f>
        <v>-3.3985879578409409E-3</v>
      </c>
      <c r="M94" s="3">
        <v>0.202734833333333</v>
      </c>
      <c r="N94" s="3">
        <f>(M94-M92)/M92</f>
        <v>4.9524357152017518E-3</v>
      </c>
      <c r="O94" s="3">
        <v>0.26326070833333298</v>
      </c>
      <c r="P94" s="3">
        <f>(O94-O92)/O92</f>
        <v>9.0962160089904807E-4</v>
      </c>
      <c r="Q94" s="3">
        <v>3.9209699999999898E-3</v>
      </c>
      <c r="R94" s="3">
        <f>(Q94-Q92)/Q92</f>
        <v>-1.9489800288183666E-2</v>
      </c>
      <c r="S94" s="3">
        <v>2.7554150000000002E-3</v>
      </c>
      <c r="T94" s="3">
        <f>(S94-S92)/S92</f>
        <v>-1.0133378358595636E-2</v>
      </c>
      <c r="U94" s="3">
        <v>2.49646875E-3</v>
      </c>
      <c r="V94">
        <f>(U94-U92)/U92</f>
        <v>-2.0162186480600395E-2</v>
      </c>
    </row>
    <row r="95" spans="1:22" ht="18" x14ac:dyDescent="0.2">
      <c r="A95" s="1"/>
      <c r="B95" s="11" t="s">
        <v>22</v>
      </c>
      <c r="C95" s="11" t="s">
        <v>5</v>
      </c>
      <c r="D95" s="12">
        <v>98.62</v>
      </c>
      <c r="E95" s="15">
        <v>73520821</v>
      </c>
      <c r="F95" s="3">
        <f>(E95-E92)/E92</f>
        <v>1.0595797164307008E-2</v>
      </c>
      <c r="G95" s="18">
        <v>27.886099999999999</v>
      </c>
      <c r="H95" s="18">
        <f>(G95-G92)/G92</f>
        <v>6.6166596878293581E-3</v>
      </c>
      <c r="I95" s="20">
        <v>182882629</v>
      </c>
      <c r="J95" s="22">
        <f>(I95-I92)/I92</f>
        <v>1.3466681648688333E-3</v>
      </c>
      <c r="K95" s="3">
        <v>0.44927924999999902</v>
      </c>
      <c r="L95" s="3">
        <f>(K95-K92)/K92</f>
        <v>-4.4834106604210271E-3</v>
      </c>
      <c r="M95" s="3">
        <v>0.202802708333333</v>
      </c>
      <c r="N95" s="3">
        <f>(M95-M92)/M92</f>
        <v>5.2888907064464622E-3</v>
      </c>
      <c r="O95" s="3">
        <v>0.26318145833333301</v>
      </c>
      <c r="P95" s="3">
        <f>(O95-O92)/O92</f>
        <v>6.0831538618123652E-4</v>
      </c>
      <c r="Q95" s="3">
        <v>3.9359320833333303E-3</v>
      </c>
      <c r="R95" s="3">
        <f>(Q95-Q92)/Q92</f>
        <v>-1.5748257935837534E-2</v>
      </c>
      <c r="S95" s="3">
        <v>2.7653670833333302E-3</v>
      </c>
      <c r="T95" s="3">
        <f>(S95-S92)/S92</f>
        <v>-6.558150994493658E-3</v>
      </c>
      <c r="U95" s="3">
        <v>2.5056091666666599E-3</v>
      </c>
      <c r="V95">
        <f>(U95-U92)/U92</f>
        <v>-1.6574668759292532E-2</v>
      </c>
    </row>
    <row r="96" spans="1:22" x14ac:dyDescent="0.2">
      <c r="A96" s="1"/>
      <c r="B96" s="11" t="s">
        <v>22</v>
      </c>
      <c r="C96" s="11" t="s">
        <v>24</v>
      </c>
      <c r="D96" s="14">
        <v>95.66</v>
      </c>
      <c r="E96" s="3">
        <v>83244456</v>
      </c>
      <c r="F96" s="3">
        <f t="shared" si="12"/>
        <v>0.14425405247894443</v>
      </c>
      <c r="G96" s="3">
        <v>29.475200000000001</v>
      </c>
      <c r="H96" s="18">
        <f t="shared" ref="H96:H101" si="16">(G96-G92)/G92</f>
        <v>6.3979092366114654E-2</v>
      </c>
      <c r="I96" s="21">
        <v>188143321</v>
      </c>
      <c r="J96" s="22">
        <f>(I96-I92)/I92</f>
        <v>3.0150805743411519E-2</v>
      </c>
      <c r="K96" s="3">
        <v>0.44340162499999902</v>
      </c>
      <c r="L96" s="3">
        <f>(K96-K92)/K92</f>
        <v>-1.750709958755722E-2</v>
      </c>
      <c r="M96" s="3">
        <v>0.1936475</v>
      </c>
      <c r="N96" s="3">
        <f>(M96-M92)/M92</f>
        <v>-4.0093290356320047E-2</v>
      </c>
      <c r="O96" s="3">
        <v>0.25461724999999902</v>
      </c>
      <c r="P96" s="3">
        <f>(O96-O92)/O92</f>
        <v>-3.1952557736499028E-2</v>
      </c>
      <c r="Q96" s="3">
        <v>3.4426483333333301E-3</v>
      </c>
      <c r="R96" s="3">
        <f>(Q96-Q92)/Q92</f>
        <v>-0.13910287381586089</v>
      </c>
      <c r="S96" s="3">
        <v>2.64831999999999E-3</v>
      </c>
      <c r="T96" s="3">
        <f>(S96-S92)/S92</f>
        <v>-4.860662679656097E-2</v>
      </c>
      <c r="U96" s="3">
        <v>2.29326041666666E-3</v>
      </c>
      <c r="V96">
        <f>(U96-U92)/U92</f>
        <v>-9.991932705055992E-2</v>
      </c>
    </row>
    <row r="97" spans="1:22" ht="18" x14ac:dyDescent="0.2">
      <c r="A97" s="1"/>
      <c r="B97" s="11" t="s">
        <v>23</v>
      </c>
      <c r="C97" s="11" t="s">
        <v>26</v>
      </c>
      <c r="D97" s="12">
        <v>95.47</v>
      </c>
      <c r="E97" s="15">
        <v>83760913</v>
      </c>
      <c r="F97" s="3">
        <v>0</v>
      </c>
      <c r="G97" s="18">
        <v>31.305199999999999</v>
      </c>
      <c r="H97" s="18">
        <v>0</v>
      </c>
      <c r="I97" s="20">
        <v>181467617</v>
      </c>
      <c r="J97" s="22">
        <v>0</v>
      </c>
      <c r="K97" s="3">
        <v>0.45736624999999997</v>
      </c>
      <c r="L97" s="3">
        <v>0</v>
      </c>
      <c r="M97" s="3">
        <v>0.20383954166666601</v>
      </c>
      <c r="N97" s="3">
        <v>0</v>
      </c>
      <c r="O97" s="3">
        <v>0.266243333333333</v>
      </c>
      <c r="P97" s="3">
        <v>0</v>
      </c>
      <c r="Q97" s="3">
        <v>4.2225441666666596E-3</v>
      </c>
      <c r="R97" s="3">
        <v>0</v>
      </c>
      <c r="S97" s="3">
        <v>2.7663770833333298E-3</v>
      </c>
      <c r="T97" s="3">
        <v>0</v>
      </c>
      <c r="U97" s="3">
        <v>2.6846958333333298E-3</v>
      </c>
      <c r="V97">
        <v>0</v>
      </c>
    </row>
    <row r="98" spans="1:22" ht="18" x14ac:dyDescent="0.2">
      <c r="A98" s="1"/>
      <c r="B98" s="11" t="s">
        <v>23</v>
      </c>
      <c r="C98" s="11" t="s">
        <v>3</v>
      </c>
      <c r="D98" s="11">
        <v>96.85</v>
      </c>
      <c r="E98" s="15">
        <v>84141524</v>
      </c>
      <c r="F98" s="3">
        <f>(E98-E97)/E97</f>
        <v>4.5440168494820486E-3</v>
      </c>
      <c r="G98" s="18">
        <v>31.376300000000001</v>
      </c>
      <c r="H98" s="18">
        <f>(G98-G97)/G97</f>
        <v>2.2711881732108809E-3</v>
      </c>
      <c r="I98" s="20">
        <v>181388671</v>
      </c>
      <c r="J98" s="22">
        <f>(I98-I97)/I97</f>
        <v>-4.3504180693572451E-4</v>
      </c>
      <c r="K98" s="3">
        <v>0.456998291666666</v>
      </c>
      <c r="L98" s="3">
        <f>(K98-K97)/K97</f>
        <v>-8.0451570996760934E-4</v>
      </c>
      <c r="M98" s="3">
        <v>0.20523137499999999</v>
      </c>
      <c r="N98" s="3">
        <f>(M98-M97)/M97</f>
        <v>6.8280831184854831E-3</v>
      </c>
      <c r="O98" s="3">
        <v>0.266957375</v>
      </c>
      <c r="P98" s="3">
        <f>(O98-O97)/O97</f>
        <v>2.6819137881399181E-3</v>
      </c>
      <c r="Q98" s="3">
        <v>4.0980470833333303E-3</v>
      </c>
      <c r="R98" s="3">
        <f t="shared" ref="R68:R101" si="17">(Q98-Q97)/Q97</f>
        <v>-2.9483903168171989E-2</v>
      </c>
      <c r="S98" s="3">
        <v>2.6867237499999998E-3</v>
      </c>
      <c r="T98" s="3">
        <f>(S98-S97)/S97</f>
        <v>-2.8793375210205308E-2</v>
      </c>
      <c r="U98" s="3">
        <v>2.5991712499999998E-3</v>
      </c>
      <c r="V98">
        <f>(U98-U97)/U97</f>
        <v>-3.1856340026103561E-2</v>
      </c>
    </row>
    <row r="99" spans="1:22" ht="18" x14ac:dyDescent="0.2">
      <c r="A99" s="1"/>
      <c r="B99" s="11" t="s">
        <v>23</v>
      </c>
      <c r="C99" s="11" t="s">
        <v>4</v>
      </c>
      <c r="D99" s="11">
        <v>97.63</v>
      </c>
      <c r="E99" s="15">
        <v>84261163</v>
      </c>
      <c r="F99" s="3">
        <f>(E99-E97)/E97</f>
        <v>5.9723561036160149E-3</v>
      </c>
      <c r="G99" s="18">
        <v>31.416699999999999</v>
      </c>
      <c r="H99" s="18">
        <f>(G99-G97)/G97</f>
        <v>3.5617085979325956E-3</v>
      </c>
      <c r="I99" s="20">
        <v>181322157</v>
      </c>
      <c r="J99" s="22">
        <f>(I99-I97)/I97</f>
        <v>-8.0157552297609115E-4</v>
      </c>
      <c r="K99" s="3">
        <v>0.45634524999999998</v>
      </c>
      <c r="L99" s="3">
        <f>(K99-K97)/K97</f>
        <v>-2.2323466149939881E-3</v>
      </c>
      <c r="M99" s="3">
        <v>0.20532145833333301</v>
      </c>
      <c r="N99" s="3">
        <f>(M99-M97)/M97</f>
        <v>7.2700156924918055E-3</v>
      </c>
      <c r="O99" s="3">
        <v>0.26686479166666599</v>
      </c>
      <c r="P99" s="3">
        <f>(O99-O97)/O97</f>
        <v>2.3341742516231729E-3</v>
      </c>
      <c r="Q99" s="3">
        <v>4.0914408333333303E-3</v>
      </c>
      <c r="R99" s="3">
        <f>(Q99-Q97)/Q97</f>
        <v>-3.1048422031503403E-2</v>
      </c>
      <c r="S99" s="3">
        <v>2.68874125E-3</v>
      </c>
      <c r="T99" s="3">
        <f>(S99-S97)/S97</f>
        <v>-2.8064082008582489E-2</v>
      </c>
      <c r="U99" s="3">
        <v>2.5930120833333298E-3</v>
      </c>
      <c r="V99">
        <f>(U99-U97)/U97</f>
        <v>-3.4150516740723308E-2</v>
      </c>
    </row>
    <row r="100" spans="1:22" ht="18" x14ac:dyDescent="0.2">
      <c r="A100" s="1"/>
      <c r="B100" s="11" t="s">
        <v>23</v>
      </c>
      <c r="C100" s="11" t="s">
        <v>5</v>
      </c>
      <c r="D100" s="12">
        <v>98.75</v>
      </c>
      <c r="E100" s="15">
        <v>84461990</v>
      </c>
      <c r="F100" s="3">
        <f>(E100-E97)/E97</f>
        <v>8.3699780111040571E-3</v>
      </c>
      <c r="G100" s="7">
        <v>31.4602</v>
      </c>
      <c r="H100" s="18">
        <f>(G100-G97)/G97</f>
        <v>4.9512541047494075E-3</v>
      </c>
      <c r="I100" s="20">
        <v>181260119</v>
      </c>
      <c r="J100" s="22">
        <f>(I100-I97)/I97</f>
        <v>-1.1434436811940943E-3</v>
      </c>
      <c r="K100" s="3">
        <v>0.45600091666666598</v>
      </c>
      <c r="L100" s="3">
        <f>(K100-K97)/K97</f>
        <v>-2.9852078795363579E-3</v>
      </c>
      <c r="M100" s="3">
        <v>0.20543983333333299</v>
      </c>
      <c r="N100" s="3">
        <f>(M100-M97)/M97</f>
        <v>7.8507420767453175E-3</v>
      </c>
      <c r="O100" s="3">
        <v>0.26685783333333302</v>
      </c>
      <c r="P100" s="3">
        <f>(O100-O97)/O97</f>
        <v>2.3080390119315109E-3</v>
      </c>
      <c r="Q100" s="3">
        <v>4.0939174999999901E-3</v>
      </c>
      <c r="R100" s="3">
        <f>(Q100-Q97)/Q97</f>
        <v>-3.0461887807371205E-2</v>
      </c>
      <c r="S100" s="3">
        <v>2.6936541666666598E-3</v>
      </c>
      <c r="T100" s="3">
        <f>(S100-S97)/S97</f>
        <v>-2.6288143111366048E-2</v>
      </c>
      <c r="U100" s="3">
        <v>2.5979137499999899E-3</v>
      </c>
      <c r="V100">
        <f>(U100-U97)/U97</f>
        <v>-3.2324735732014331E-2</v>
      </c>
    </row>
    <row r="101" spans="1:22" x14ac:dyDescent="0.2">
      <c r="A101" s="1"/>
      <c r="B101" s="11" t="s">
        <v>23</v>
      </c>
      <c r="C101" s="11" t="s">
        <v>24</v>
      </c>
      <c r="D101" s="14">
        <v>96.45</v>
      </c>
      <c r="E101" s="3">
        <v>99538681</v>
      </c>
      <c r="F101" s="3">
        <f t="shared" si="12"/>
        <v>0.18836671467513733</v>
      </c>
      <c r="G101" s="3">
        <v>33.5259</v>
      </c>
      <c r="H101" s="18">
        <f t="shared" si="16"/>
        <v>7.0937096712367295E-2</v>
      </c>
      <c r="I101" s="21">
        <v>186457758</v>
      </c>
      <c r="J101" s="22">
        <f>(I101-I97)/I97</f>
        <v>2.7498796107517078E-2</v>
      </c>
      <c r="K101" s="3">
        <v>0.44997779166666602</v>
      </c>
      <c r="L101" s="3">
        <f>(K101-K97)/K97</f>
        <v>-1.6154358423547777E-2</v>
      </c>
      <c r="M101" s="3">
        <v>0.195966791666666</v>
      </c>
      <c r="N101" s="3">
        <f>(M101-M97)/M97</f>
        <v>-3.8622290531216623E-2</v>
      </c>
      <c r="O101" s="3">
        <v>0.25822758333333301</v>
      </c>
      <c r="P101" s="3">
        <f>(O101-O97)/O97</f>
        <v>-3.0106857135702922E-2</v>
      </c>
      <c r="Q101" s="3">
        <v>3.6080462499999901E-3</v>
      </c>
      <c r="R101" s="3">
        <f>(Q101-Q97)/Q97</f>
        <v>-0.14552788376202197</v>
      </c>
      <c r="S101" s="3">
        <v>2.6185670833333299E-3</v>
      </c>
      <c r="T101" s="3">
        <f>(S101-S97)/S97</f>
        <v>-5.3430893745655662E-2</v>
      </c>
      <c r="U101" s="3">
        <v>2.3749429166666598E-3</v>
      </c>
      <c r="V101">
        <f>(U101-U97)/U97</f>
        <v>-0.11537728513627538</v>
      </c>
    </row>
    <row r="102" spans="1:22" x14ac:dyDescent="0.2">
      <c r="A102" s="1"/>
      <c r="B102" s="3"/>
      <c r="C102" s="2"/>
      <c r="D102" s="3"/>
      <c r="E102" s="3"/>
      <c r="F102" s="3"/>
      <c r="I102" s="9"/>
      <c r="J102" s="7"/>
      <c r="K102" s="7"/>
      <c r="L102" s="3"/>
      <c r="M102" s="3"/>
      <c r="N102" s="3"/>
      <c r="O102" s="3"/>
      <c r="P102" s="3"/>
    </row>
    <row r="103" spans="1:22" x14ac:dyDescent="0.2">
      <c r="A103" s="1"/>
      <c r="B103" s="3"/>
      <c r="C103" s="6"/>
      <c r="D103" s="3"/>
      <c r="E103" s="3"/>
      <c r="F103" s="3"/>
      <c r="I103" s="9"/>
      <c r="J103" s="7"/>
      <c r="K103" s="7"/>
      <c r="L103" s="3"/>
      <c r="M103" s="3"/>
      <c r="N103" s="3"/>
      <c r="O103" s="3"/>
      <c r="P103" s="3"/>
    </row>
    <row r="104" spans="1:22" x14ac:dyDescent="0.2">
      <c r="A104" s="1"/>
      <c r="B104" s="3"/>
      <c r="C104" s="6"/>
      <c r="D104" s="3"/>
      <c r="E104" s="3"/>
      <c r="F104" s="3"/>
      <c r="I104" s="9"/>
      <c r="J104" s="7"/>
      <c r="K104" s="7"/>
      <c r="L104" s="3"/>
      <c r="M104" s="3"/>
      <c r="N104" s="3"/>
      <c r="O104" s="3"/>
      <c r="P104" s="3"/>
    </row>
    <row r="105" spans="1:22" x14ac:dyDescent="0.2">
      <c r="A105" s="1"/>
      <c r="B105" s="3"/>
      <c r="C105" s="6"/>
      <c r="D105" s="3"/>
      <c r="E105" s="3"/>
      <c r="F105" s="3"/>
      <c r="I105" s="7"/>
      <c r="J105" s="7"/>
      <c r="K105" s="7"/>
      <c r="L105" s="3"/>
      <c r="M105" s="3"/>
      <c r="N105" s="3"/>
      <c r="O105" s="3"/>
      <c r="P105" s="3"/>
    </row>
    <row r="106" spans="1:22" x14ac:dyDescent="0.2">
      <c r="A106" s="1"/>
      <c r="B106" s="3"/>
      <c r="C106" s="6"/>
      <c r="D106" s="3"/>
      <c r="E106" s="3"/>
      <c r="F106" s="3"/>
      <c r="I106" s="3"/>
      <c r="J106" s="3"/>
      <c r="K106" s="3"/>
      <c r="L106" s="3"/>
      <c r="M106" s="3"/>
      <c r="N106" s="3"/>
      <c r="O106" s="3"/>
      <c r="P106" s="3"/>
    </row>
    <row r="107" spans="1:22" x14ac:dyDescent="0.2">
      <c r="A107" s="1"/>
      <c r="B107" s="3"/>
      <c r="C107" s="2"/>
      <c r="I107" s="9"/>
      <c r="J107" s="7"/>
      <c r="K107" s="8"/>
      <c r="M107" s="3"/>
      <c r="N107" s="3"/>
      <c r="O107" s="3"/>
      <c r="P107" s="3"/>
    </row>
    <row r="108" spans="1:22" x14ac:dyDescent="0.2">
      <c r="A108" s="1"/>
      <c r="B108" s="3"/>
      <c r="C108" s="6"/>
      <c r="D108" s="3"/>
      <c r="E108" s="3"/>
      <c r="F108" s="3"/>
      <c r="I108" s="9"/>
      <c r="J108" s="7"/>
      <c r="K108" s="7"/>
      <c r="L108" s="3"/>
      <c r="M108" s="3"/>
      <c r="N108" s="3"/>
      <c r="O108" s="3"/>
      <c r="P108" s="3"/>
    </row>
    <row r="109" spans="1:22" x14ac:dyDescent="0.2">
      <c r="A109" s="1"/>
      <c r="B109" s="3"/>
      <c r="C109" s="6"/>
      <c r="D109" s="3"/>
      <c r="E109" s="3"/>
      <c r="F109" s="3"/>
      <c r="I109" s="9"/>
      <c r="J109" s="7"/>
      <c r="K109" s="7"/>
      <c r="L109" s="3"/>
      <c r="M109" s="3"/>
      <c r="N109" s="3"/>
      <c r="O109" s="3"/>
      <c r="P109" s="3"/>
    </row>
    <row r="110" spans="1:22" x14ac:dyDescent="0.2">
      <c r="A110" s="1"/>
      <c r="B110" s="3"/>
      <c r="C110" s="6"/>
      <c r="D110" s="3"/>
      <c r="E110" s="3"/>
      <c r="F110" s="3"/>
      <c r="I110" s="7"/>
      <c r="J110" s="7"/>
      <c r="K110" s="7"/>
      <c r="L110" s="3"/>
      <c r="M110" s="3"/>
      <c r="N110" s="3"/>
      <c r="O110" s="3"/>
      <c r="P110" s="3"/>
    </row>
    <row r="111" spans="1:22" x14ac:dyDescent="0.2">
      <c r="A111" s="1"/>
      <c r="B111" s="3"/>
      <c r="C111" s="6"/>
      <c r="D111" s="3"/>
      <c r="E111" s="3"/>
      <c r="F111" s="3"/>
      <c r="I111" s="3"/>
      <c r="J111" s="3"/>
      <c r="K111" s="3"/>
      <c r="L111" s="3"/>
      <c r="M111" s="3"/>
      <c r="N111" s="3"/>
      <c r="O111" s="3"/>
      <c r="P111" s="3"/>
    </row>
    <row r="112" spans="1:22" x14ac:dyDescent="0.2">
      <c r="A112" s="1"/>
      <c r="B112" s="3"/>
      <c r="C112" s="2"/>
      <c r="D112" s="3"/>
      <c r="E112" s="3"/>
      <c r="F112" s="3"/>
      <c r="I112" s="9"/>
      <c r="J112" s="7"/>
      <c r="K112" s="7"/>
      <c r="L112" s="3"/>
      <c r="M112" s="3"/>
      <c r="N112" s="3"/>
      <c r="O112" s="3"/>
      <c r="P112" s="3"/>
    </row>
    <row r="113" spans="1:16" x14ac:dyDescent="0.2">
      <c r="A113" s="1"/>
      <c r="B113" s="3"/>
      <c r="C113" s="6"/>
      <c r="D113" s="3"/>
      <c r="E113" s="3"/>
      <c r="F113" s="3"/>
      <c r="I113" s="9"/>
      <c r="J113" s="7"/>
      <c r="K113" s="7"/>
      <c r="L113" s="3"/>
      <c r="M113" s="3"/>
      <c r="N113" s="3"/>
      <c r="O113" s="3"/>
      <c r="P113" s="3"/>
    </row>
    <row r="114" spans="1:16" x14ac:dyDescent="0.2">
      <c r="A114" s="1"/>
      <c r="B114" s="3"/>
      <c r="C114" s="6"/>
      <c r="D114" s="3"/>
      <c r="E114" s="3"/>
      <c r="F114" s="3"/>
      <c r="I114" s="9"/>
      <c r="J114" s="7"/>
      <c r="K114" s="7"/>
      <c r="L114" s="3"/>
      <c r="M114" s="3"/>
      <c r="N114" s="3"/>
      <c r="O114" s="3"/>
      <c r="P114" s="3"/>
    </row>
    <row r="115" spans="1:16" x14ac:dyDescent="0.2">
      <c r="A115" s="1"/>
      <c r="B115" s="3"/>
      <c r="C115" s="6"/>
      <c r="D115" s="3"/>
      <c r="E115" s="3"/>
      <c r="F115" s="3"/>
      <c r="I115" s="7"/>
      <c r="J115" s="7"/>
      <c r="K115" s="7"/>
      <c r="L115" s="3"/>
      <c r="M115" s="3"/>
      <c r="N115" s="3"/>
      <c r="O115" s="3"/>
      <c r="P115" s="3"/>
    </row>
    <row r="116" spans="1:16" x14ac:dyDescent="0.2">
      <c r="A116" s="1"/>
      <c r="B116" s="3"/>
      <c r="C116" s="6"/>
      <c r="D116" s="3"/>
      <c r="E116" s="3"/>
      <c r="F116" s="3"/>
      <c r="I116" s="3"/>
      <c r="J116" s="7"/>
      <c r="K116" s="3"/>
      <c r="L116" s="3"/>
      <c r="M116" s="3"/>
      <c r="N116" s="3"/>
      <c r="O116" s="3"/>
      <c r="P116" s="3"/>
    </row>
    <row r="117" spans="1:16" x14ac:dyDescent="0.2">
      <c r="A117" s="1"/>
      <c r="B117" s="3"/>
      <c r="C117" s="2"/>
      <c r="D117" s="3"/>
      <c r="E117" s="3"/>
      <c r="F117" s="3"/>
      <c r="I117" s="9"/>
      <c r="J117" s="7"/>
      <c r="K117" s="7"/>
      <c r="L117" s="3"/>
      <c r="M117" s="3"/>
      <c r="N117" s="3"/>
      <c r="O117" s="3"/>
      <c r="P117" s="3"/>
    </row>
    <row r="118" spans="1:16" x14ac:dyDescent="0.2">
      <c r="A118" s="1"/>
      <c r="B118" s="3"/>
      <c r="C118" s="6"/>
      <c r="D118" s="3"/>
      <c r="E118" s="3"/>
      <c r="F118" s="3"/>
      <c r="I118" s="9"/>
      <c r="J118" s="7"/>
      <c r="K118" s="7"/>
      <c r="L118" s="3"/>
      <c r="M118" s="3"/>
      <c r="N118" s="3"/>
      <c r="O118" s="3"/>
      <c r="P118" s="3"/>
    </row>
    <row r="119" spans="1:16" x14ac:dyDescent="0.2">
      <c r="A119" s="1"/>
      <c r="B119" s="3"/>
      <c r="C119" s="6"/>
      <c r="D119" s="3"/>
      <c r="E119" s="3"/>
      <c r="F119" s="3"/>
      <c r="I119" s="9"/>
      <c r="J119" s="7"/>
      <c r="K119" s="7"/>
      <c r="L119" s="3"/>
      <c r="M119" s="3"/>
      <c r="N119" s="3"/>
      <c r="O119" s="3"/>
      <c r="P119" s="3"/>
    </row>
    <row r="120" spans="1:16" x14ac:dyDescent="0.2">
      <c r="A120" s="1"/>
      <c r="B120" s="3"/>
      <c r="C120" s="6"/>
      <c r="D120" s="3"/>
      <c r="E120" s="3"/>
      <c r="F120" s="3"/>
      <c r="I120" s="7"/>
      <c r="J120" s="7"/>
      <c r="K120" s="7"/>
      <c r="L120" s="3"/>
      <c r="M120" s="3"/>
      <c r="N120" s="3"/>
      <c r="O120" s="3"/>
      <c r="P120" s="3"/>
    </row>
    <row r="121" spans="1:16" x14ac:dyDescent="0.2">
      <c r="A121" s="1"/>
      <c r="B121" s="3"/>
      <c r="C121" s="6"/>
      <c r="D121" s="3"/>
      <c r="E121" s="3"/>
      <c r="F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"/>
      <c r="B122" s="3"/>
      <c r="C122" s="2"/>
      <c r="D122" s="3"/>
      <c r="E122" s="3"/>
      <c r="F122" s="3"/>
      <c r="I122" s="9"/>
      <c r="J122" s="7"/>
      <c r="K122" s="7"/>
      <c r="L122" s="3"/>
      <c r="M122" s="3"/>
      <c r="N122" s="3"/>
      <c r="O122" s="3"/>
      <c r="P122" s="3"/>
    </row>
    <row r="123" spans="1:16" x14ac:dyDescent="0.2">
      <c r="A123" s="1"/>
      <c r="B123" s="3"/>
      <c r="C123" s="6"/>
      <c r="D123" s="3"/>
      <c r="E123" s="3"/>
      <c r="F123" s="3"/>
      <c r="I123" s="9"/>
      <c r="J123" s="7"/>
      <c r="K123" s="7"/>
      <c r="L123" s="3"/>
      <c r="M123" s="3"/>
      <c r="N123" s="3"/>
      <c r="O123" s="3"/>
      <c r="P123" s="3"/>
    </row>
    <row r="124" spans="1:16" x14ac:dyDescent="0.2">
      <c r="A124" s="1"/>
      <c r="B124" s="3"/>
      <c r="C124" s="6"/>
      <c r="D124" s="3"/>
      <c r="E124" s="3"/>
      <c r="F124" s="3"/>
      <c r="I124" s="9"/>
      <c r="J124" s="7"/>
      <c r="K124" s="7"/>
      <c r="L124" s="3"/>
      <c r="M124" s="3"/>
      <c r="N124" s="3"/>
      <c r="O124" s="3"/>
      <c r="P124" s="3"/>
    </row>
    <row r="125" spans="1:16" x14ac:dyDescent="0.2">
      <c r="A125" s="1"/>
      <c r="B125" s="3"/>
      <c r="C125" s="6"/>
      <c r="D125" s="3"/>
      <c r="E125" s="3"/>
      <c r="F125" s="3"/>
      <c r="I125" s="7"/>
      <c r="J125" s="7"/>
      <c r="K125" s="7"/>
      <c r="L125" s="3"/>
      <c r="M125" s="3"/>
      <c r="N125" s="3"/>
      <c r="O125" s="3"/>
      <c r="P125" s="3"/>
    </row>
    <row r="126" spans="1:16" x14ac:dyDescent="0.2">
      <c r="A126" s="1"/>
      <c r="B126" s="3"/>
      <c r="C126" s="6"/>
      <c r="D126" s="3"/>
      <c r="E126" s="3"/>
      <c r="F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"/>
      <c r="B127" s="3"/>
      <c r="C127" s="2"/>
      <c r="D127" s="3"/>
      <c r="E127" s="3"/>
      <c r="F127" s="3"/>
      <c r="I127" s="9"/>
      <c r="J127" s="7"/>
      <c r="K127" s="7"/>
      <c r="L127" s="3"/>
      <c r="M127" s="3"/>
      <c r="N127" s="3"/>
      <c r="O127" s="3"/>
      <c r="P127" s="3"/>
    </row>
    <row r="128" spans="1:16" x14ac:dyDescent="0.2">
      <c r="A128" s="1"/>
      <c r="B128" s="3"/>
      <c r="C128" s="6"/>
      <c r="D128" s="3"/>
      <c r="E128" s="3"/>
      <c r="F128" s="3"/>
      <c r="I128" s="9"/>
      <c r="J128" s="7"/>
      <c r="K128" s="7"/>
      <c r="L128" s="3"/>
      <c r="M128" s="3"/>
      <c r="N128" s="3"/>
      <c r="O128" s="3"/>
      <c r="P128" s="3"/>
    </row>
    <row r="129" spans="1:16" x14ac:dyDescent="0.2">
      <c r="A129" s="1"/>
      <c r="B129" s="3"/>
      <c r="C129" s="6"/>
      <c r="D129" s="3"/>
      <c r="E129" s="3"/>
      <c r="F129" s="3"/>
      <c r="I129" s="9"/>
      <c r="J129" s="7"/>
      <c r="K129" s="7"/>
      <c r="L129" s="3"/>
      <c r="M129" s="3"/>
      <c r="N129" s="3"/>
      <c r="O129" s="3"/>
      <c r="P129" s="3"/>
    </row>
    <row r="130" spans="1:16" x14ac:dyDescent="0.2">
      <c r="A130" s="1"/>
      <c r="B130" s="3"/>
      <c r="C130" s="6"/>
      <c r="D130" s="3"/>
      <c r="E130" s="3"/>
      <c r="F130" s="3"/>
      <c r="I130" s="7"/>
      <c r="J130" s="7"/>
      <c r="K130" s="7"/>
      <c r="L130" s="3"/>
      <c r="M130" s="3"/>
      <c r="N130" s="3"/>
      <c r="O130" s="3"/>
      <c r="P130" s="3"/>
    </row>
    <row r="131" spans="1:16" x14ac:dyDescent="0.2">
      <c r="A131" s="1"/>
      <c r="B131" s="3"/>
      <c r="C131" s="6"/>
      <c r="D131" s="3"/>
      <c r="E131" s="3"/>
      <c r="F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B132" s="3"/>
      <c r="C132" s="2"/>
      <c r="D132" s="3"/>
      <c r="E132" s="3"/>
      <c r="F132" s="3"/>
      <c r="I132" s="9"/>
      <c r="J132" s="7"/>
      <c r="K132" s="7"/>
      <c r="L132" s="3"/>
      <c r="M132" s="3"/>
      <c r="N132" s="3"/>
      <c r="O132" s="3"/>
      <c r="P132" s="3"/>
    </row>
    <row r="133" spans="1:16" x14ac:dyDescent="0.2">
      <c r="B133" s="3"/>
      <c r="C133" s="6"/>
      <c r="D133" s="3"/>
      <c r="E133" s="3"/>
      <c r="F133" s="3"/>
      <c r="I133" s="9"/>
      <c r="J133" s="7"/>
      <c r="K133" s="7"/>
      <c r="L133" s="3"/>
      <c r="M133" s="3"/>
      <c r="N133" s="3"/>
      <c r="O133" s="3"/>
      <c r="P133" s="3"/>
    </row>
    <row r="134" spans="1:16" x14ac:dyDescent="0.2">
      <c r="B134" s="3"/>
      <c r="C134" s="6"/>
      <c r="D134" s="3"/>
      <c r="E134" s="3"/>
      <c r="F134" s="3"/>
      <c r="I134" s="9"/>
      <c r="J134" s="7"/>
      <c r="K134" s="7"/>
      <c r="L134" s="3"/>
      <c r="M134" s="3"/>
      <c r="N134" s="3"/>
      <c r="O134" s="3"/>
      <c r="P134" s="3"/>
    </row>
    <row r="135" spans="1:16" x14ac:dyDescent="0.2">
      <c r="B135" s="3"/>
      <c r="C135" s="6"/>
      <c r="D135" s="3"/>
      <c r="E135" s="3"/>
      <c r="F135" s="3"/>
      <c r="I135" s="7"/>
      <c r="J135" s="7"/>
      <c r="K135" s="7"/>
      <c r="L135" s="3"/>
      <c r="M135" s="3"/>
      <c r="N135" s="3"/>
      <c r="O135" s="3"/>
      <c r="P135" s="3"/>
    </row>
    <row r="136" spans="1:16" x14ac:dyDescent="0.2">
      <c r="B136" s="3"/>
      <c r="C136" s="10"/>
      <c r="D136" s="3"/>
      <c r="E136" s="3"/>
      <c r="F136" s="3"/>
      <c r="I136" s="3"/>
      <c r="J136" s="3"/>
      <c r="K136" s="3"/>
      <c r="L136" s="3"/>
      <c r="M136" s="3"/>
      <c r="N13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Nevado</dc:creator>
  <cp:lastModifiedBy>fc57875</cp:lastModifiedBy>
  <dcterms:created xsi:type="dcterms:W3CDTF">2024-04-04T12:11:30Z</dcterms:created>
  <dcterms:modified xsi:type="dcterms:W3CDTF">2024-12-14T16:30:19Z</dcterms:modified>
</cp:coreProperties>
</file>