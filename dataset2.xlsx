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esvieira/Desktop/projeto/"/>
    </mc:Choice>
  </mc:AlternateContent>
  <xr:revisionPtr revIDLastSave="0" documentId="13_ncr:1_{FC9C7D0E-E83C-C740-BE01-8ADC38627F0C}" xr6:coauthVersionLast="47" xr6:coauthVersionMax="47" xr10:uidLastSave="{00000000-0000-0000-0000-000000000000}"/>
  <bookViews>
    <workbookView xWindow="700" yWindow="2460" windowWidth="27840" windowHeight="15960" xr2:uid="{1EE7BEEC-40B7-FC42-BB59-057D30DDCD41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1" l="1"/>
  <c r="N61" i="1"/>
  <c r="N60" i="1"/>
  <c r="N56" i="1"/>
  <c r="N55" i="1"/>
  <c r="N51" i="1"/>
  <c r="N50" i="1"/>
  <c r="N46" i="1"/>
  <c r="N45" i="1"/>
  <c r="N41" i="1"/>
  <c r="N40" i="1"/>
  <c r="N36" i="1"/>
  <c r="N35" i="1"/>
  <c r="N31" i="1"/>
  <c r="N30" i="1"/>
  <c r="N26" i="1"/>
  <c r="N25" i="1"/>
  <c r="N20" i="1"/>
  <c r="N16" i="1"/>
  <c r="N15" i="1"/>
  <c r="N11" i="1"/>
  <c r="N10" i="1"/>
  <c r="N6" i="1"/>
  <c r="N5" i="1"/>
  <c r="N4" i="1"/>
  <c r="N3" i="1"/>
  <c r="H51" i="1"/>
  <c r="H50" i="1"/>
  <c r="L46" i="1"/>
  <c r="L61" i="1"/>
  <c r="L60" i="1"/>
  <c r="L56" i="1"/>
  <c r="L55" i="1"/>
  <c r="L51" i="1"/>
  <c r="L50" i="1"/>
  <c r="L45" i="1"/>
  <c r="L41" i="1"/>
  <c r="L40" i="1"/>
  <c r="L36" i="1"/>
  <c r="L35" i="1"/>
  <c r="L31" i="1"/>
  <c r="L30" i="1"/>
  <c r="L26" i="1"/>
  <c r="L25" i="1"/>
  <c r="L21" i="1"/>
  <c r="L20" i="1"/>
  <c r="L16" i="1"/>
  <c r="L15" i="1"/>
  <c r="L11" i="1"/>
  <c r="L10" i="1"/>
  <c r="L6" i="1"/>
  <c r="L5" i="1"/>
  <c r="F61" i="1"/>
  <c r="F59" i="1"/>
  <c r="F56" i="1"/>
  <c r="F54" i="1"/>
  <c r="F51" i="1"/>
  <c r="F49" i="1"/>
  <c r="F46" i="1"/>
  <c r="F45" i="1"/>
  <c r="F41" i="1"/>
  <c r="F40" i="1"/>
  <c r="F36" i="1"/>
  <c r="F35" i="1"/>
  <c r="F31" i="1"/>
  <c r="F30" i="1"/>
  <c r="F26" i="1"/>
  <c r="F24" i="1"/>
  <c r="F21" i="1"/>
  <c r="F20" i="1"/>
  <c r="F16" i="1"/>
  <c r="F14" i="1"/>
  <c r="F15" i="1"/>
  <c r="F13" i="1"/>
  <c r="H61" i="1"/>
  <c r="H60" i="1"/>
  <c r="H56" i="1"/>
  <c r="H55" i="1"/>
  <c r="H49" i="1"/>
  <c r="H46" i="1"/>
  <c r="H44" i="1"/>
  <c r="H41" i="1"/>
  <c r="H39" i="1"/>
  <c r="H36" i="1"/>
  <c r="H33" i="1"/>
  <c r="H31" i="1"/>
  <c r="H29" i="1"/>
  <c r="H26" i="1"/>
  <c r="H25" i="1"/>
  <c r="H21" i="1"/>
  <c r="H19" i="1"/>
  <c r="H16" i="1"/>
  <c r="H13" i="1"/>
  <c r="H11" i="1"/>
  <c r="H8" i="1"/>
  <c r="H6" i="1"/>
  <c r="H3" i="1"/>
  <c r="H5" i="1"/>
  <c r="F11" i="1"/>
  <c r="F6" i="1"/>
  <c r="F4" i="1"/>
  <c r="F3" i="1"/>
  <c r="L59" i="1"/>
  <c r="L58" i="1"/>
  <c r="L54" i="1"/>
  <c r="L53" i="1"/>
  <c r="L49" i="1"/>
  <c r="L48" i="1"/>
  <c r="L44" i="1"/>
  <c r="L39" i="1"/>
  <c r="L38" i="1"/>
  <c r="L34" i="1"/>
  <c r="L33" i="1"/>
  <c r="L43" i="1"/>
  <c r="L29" i="1"/>
  <c r="L28" i="1"/>
  <c r="L24" i="1"/>
  <c r="L23" i="1"/>
  <c r="L19" i="1"/>
  <c r="L18" i="1"/>
  <c r="L14" i="1"/>
  <c r="L9" i="1"/>
  <c r="L8" i="1"/>
  <c r="L4" i="1"/>
  <c r="L13" i="1"/>
  <c r="L3" i="1"/>
  <c r="N59" i="1"/>
  <c r="N54" i="1"/>
  <c r="N53" i="1"/>
  <c r="N49" i="1"/>
  <c r="N48" i="1"/>
  <c r="N44" i="1"/>
  <c r="N39" i="1"/>
  <c r="N43" i="1"/>
  <c r="N58" i="1"/>
  <c r="N38" i="1"/>
  <c r="N34" i="1"/>
  <c r="N33" i="1"/>
  <c r="N29" i="1"/>
  <c r="N24" i="1"/>
  <c r="N23" i="1"/>
  <c r="N19" i="1"/>
  <c r="N18" i="1"/>
  <c r="N14" i="1"/>
  <c r="N13" i="1"/>
  <c r="N9" i="1"/>
  <c r="N8" i="1"/>
  <c r="N28" i="1"/>
  <c r="J60" i="1"/>
  <c r="J59" i="1"/>
  <c r="J58" i="1"/>
  <c r="J55" i="1"/>
  <c r="J54" i="1"/>
  <c r="J53" i="1"/>
  <c r="J50" i="1"/>
  <c r="J49" i="1"/>
  <c r="J48" i="1"/>
  <c r="J45" i="1"/>
  <c r="J44" i="1"/>
  <c r="J43" i="1"/>
  <c r="J40" i="1"/>
  <c r="J39" i="1"/>
  <c r="J38" i="1"/>
  <c r="J35" i="1"/>
  <c r="J34" i="1"/>
  <c r="J33" i="1"/>
  <c r="J30" i="1"/>
  <c r="J29" i="1"/>
  <c r="J28" i="1"/>
  <c r="J25" i="1"/>
  <c r="J24" i="1"/>
  <c r="J23" i="1"/>
  <c r="J20" i="1"/>
  <c r="J19" i="1"/>
  <c r="J18" i="1"/>
  <c r="J15" i="1"/>
  <c r="J14" i="1"/>
  <c r="J13" i="1"/>
  <c r="J10" i="1"/>
  <c r="J9" i="1"/>
  <c r="J8" i="1"/>
  <c r="J5" i="1"/>
  <c r="J4" i="1"/>
  <c r="J3" i="1"/>
  <c r="F58" i="1"/>
  <c r="F60" i="1"/>
  <c r="F29" i="1"/>
  <c r="F28" i="1"/>
  <c r="F55" i="1"/>
  <c r="F53" i="1"/>
  <c r="F44" i="1"/>
  <c r="F43" i="1"/>
  <c r="F39" i="1"/>
  <c r="F38" i="1"/>
  <c r="F23" i="1"/>
  <c r="F25" i="1"/>
  <c r="F10" i="1"/>
  <c r="F9" i="1"/>
  <c r="F8" i="1"/>
  <c r="H59" i="1"/>
  <c r="H58" i="1"/>
  <c r="H54" i="1"/>
  <c r="H53" i="1"/>
  <c r="H48" i="1"/>
  <c r="H43" i="1"/>
  <c r="H45" i="1"/>
  <c r="H40" i="1"/>
  <c r="H38" i="1"/>
  <c r="H34" i="1"/>
  <c r="H28" i="1"/>
  <c r="H30" i="1"/>
  <c r="H35" i="1"/>
  <c r="H24" i="1"/>
  <c r="H23" i="1"/>
  <c r="H18" i="1"/>
  <c r="H14" i="1"/>
  <c r="H10" i="1"/>
  <c r="H9" i="1"/>
  <c r="H15" i="1"/>
  <c r="H20" i="1"/>
  <c r="H4" i="1"/>
  <c r="F50" i="1"/>
  <c r="F48" i="1"/>
  <c r="F34" i="1"/>
  <c r="F33" i="1"/>
  <c r="F19" i="1"/>
  <c r="F18" i="1"/>
  <c r="F5" i="1"/>
</calcChain>
</file>

<file path=xl/sharedStrings.xml><?xml version="1.0" encoding="utf-8"?>
<sst xmlns="http://schemas.openxmlformats.org/spreadsheetml/2006/main" count="194" uniqueCount="26">
  <si>
    <t>sample</t>
  </si>
  <si>
    <t>treatment</t>
  </si>
  <si>
    <t>primary_mapped</t>
  </si>
  <si>
    <t>reads_above20</t>
  </si>
  <si>
    <t>reads_diff</t>
  </si>
  <si>
    <t xml:space="preserve">depth </t>
  </si>
  <si>
    <t>depth_calc</t>
  </si>
  <si>
    <t>N_sites_good_depth</t>
  </si>
  <si>
    <t>sites</t>
  </si>
  <si>
    <t>missingness_CDS</t>
  </si>
  <si>
    <t>heterozigosity_CDS</t>
  </si>
  <si>
    <t>reference</t>
  </si>
  <si>
    <t>Lup2108</t>
  </si>
  <si>
    <t>Lup2221</t>
  </si>
  <si>
    <t>Lmut</t>
  </si>
  <si>
    <t>k19</t>
  </si>
  <si>
    <t>k17</t>
  </si>
  <si>
    <t>k15</t>
  </si>
  <si>
    <t>k13</t>
  </si>
  <si>
    <t>Langus</t>
  </si>
  <si>
    <t>heteroz_CDS</t>
  </si>
  <si>
    <t>Lalbus</t>
  </si>
  <si>
    <t>Langustifolius</t>
  </si>
  <si>
    <t>Lalb</t>
  </si>
  <si>
    <t>missing_CDS</t>
  </si>
  <si>
    <t>reref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</si>
</sst>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Menlo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CAC33-F502-8C42-954B-5CF3BDD9849D}">
  <dimension ref="A1:O61"/>
  <sheetViews>
    <sheetView tabSelected="1" workbookViewId="0">
      <selection activeCell="O21" sqref="O21"/>
    </sheetView>
  </sheetViews>
  <sheetFormatPr baseColWidth="10" defaultRowHeight="16" x14ac:dyDescent="0.2"/>
  <cols>
    <col min="5" max="5" width="13.33203125" bestFit="1" customWidth="1"/>
    <col min="6" max="6" width="12.83203125" bestFit="1" customWidth="1"/>
    <col min="8" max="8" width="12.1640625" bestFit="1" customWidth="1"/>
    <col min="9" max="9" width="17.5" bestFit="1" customWidth="1"/>
    <col min="10" max="10" width="12.83203125" bestFit="1" customWidth="1"/>
    <col min="11" max="11" width="15.33203125" bestFit="1" customWidth="1"/>
    <col min="12" max="12" width="15.1640625" bestFit="1" customWidth="1"/>
    <col min="13" max="13" width="17.1640625" bestFit="1" customWidth="1"/>
    <col min="14" max="14" width="12.83203125" bestFit="1" customWidth="1"/>
  </cols>
  <sheetData>
    <row r="1" spans="1:15" x14ac:dyDescent="0.2">
      <c r="A1" s="1" t="s">
        <v>0</v>
      </c>
      <c r="B1" s="1" t="s">
        <v>11</v>
      </c>
      <c r="C1" s="1" t="s">
        <v>1</v>
      </c>
      <c r="D1" s="1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2" t="s">
        <v>7</v>
      </c>
      <c r="J1" s="2" t="s">
        <v>8</v>
      </c>
      <c r="K1" s="2" t="s">
        <v>9</v>
      </c>
      <c r="L1" s="9" t="s">
        <v>24</v>
      </c>
      <c r="M1" t="s">
        <v>10</v>
      </c>
      <c r="N1" s="4" t="s">
        <v>20</v>
      </c>
      <c r="O1" s="5"/>
    </row>
    <row r="2" spans="1:15" x14ac:dyDescent="0.2">
      <c r="A2" t="s">
        <v>12</v>
      </c>
      <c r="B2" t="s">
        <v>14</v>
      </c>
      <c r="C2" t="s">
        <v>15</v>
      </c>
      <c r="D2" s="6">
        <v>45.12</v>
      </c>
      <c r="E2" s="7">
        <v>27943497</v>
      </c>
      <c r="F2">
        <v>0</v>
      </c>
      <c r="G2" s="8">
        <v>16.9298</v>
      </c>
      <c r="H2">
        <v>0</v>
      </c>
      <c r="I2" s="8">
        <v>83814080</v>
      </c>
      <c r="J2">
        <v>0</v>
      </c>
      <c r="K2" s="7">
        <v>0.240592</v>
      </c>
      <c r="L2" s="7">
        <v>0</v>
      </c>
      <c r="M2" s="7">
        <v>3.4651700000000001E-3</v>
      </c>
      <c r="N2">
        <v>0</v>
      </c>
    </row>
    <row r="3" spans="1:15" x14ac:dyDescent="0.2">
      <c r="A3" t="s">
        <v>12</v>
      </c>
      <c r="B3" t="s">
        <v>14</v>
      </c>
      <c r="C3" t="s">
        <v>16</v>
      </c>
      <c r="D3" s="7">
        <v>55.71</v>
      </c>
      <c r="E3" s="7">
        <v>29033923</v>
      </c>
      <c r="F3">
        <f>(E3-E2)/E2</f>
        <v>3.9022531789775633E-2</v>
      </c>
      <c r="G3" s="7">
        <v>16.9922</v>
      </c>
      <c r="H3">
        <f>(G3-G2)/G2</f>
        <v>3.6858084560951834E-3</v>
      </c>
      <c r="I3" s="7">
        <v>85076789</v>
      </c>
      <c r="J3">
        <f>(I3-I2)/I2</f>
        <v>1.5065595184007269E-2</v>
      </c>
      <c r="K3" s="7">
        <v>0.23766899999999999</v>
      </c>
      <c r="L3" s="7">
        <f>(K3-K2)/K2</f>
        <v>-1.2149198643346449E-2</v>
      </c>
      <c r="M3" s="7">
        <v>3.5098500000000001E-3</v>
      </c>
      <c r="N3">
        <f>(M3-M2)/M2</f>
        <v>1.289402828721248E-2</v>
      </c>
    </row>
    <row r="4" spans="1:15" x14ac:dyDescent="0.2">
      <c r="A4" t="s">
        <v>12</v>
      </c>
      <c r="B4" t="s">
        <v>14</v>
      </c>
      <c r="C4" t="s">
        <v>17</v>
      </c>
      <c r="D4" s="7">
        <v>66.14</v>
      </c>
      <c r="E4" s="7">
        <v>30991332</v>
      </c>
      <c r="F4">
        <f>(E4-E2)/E2</f>
        <v>0.10907135209311848</v>
      </c>
      <c r="G4" s="7">
        <v>16.965599999999998</v>
      </c>
      <c r="H4">
        <f>(G4-G2)/G2</f>
        <v>2.1146144667980884E-3</v>
      </c>
      <c r="I4" s="7">
        <v>85571647</v>
      </c>
      <c r="J4">
        <f>(I4-I2)/I2</f>
        <v>2.0969829890156881E-2</v>
      </c>
      <c r="K4" s="7">
        <v>0.23722399999999999</v>
      </c>
      <c r="L4" s="7">
        <f>(K4-K2)/K2</f>
        <v>-1.3998802952716674E-2</v>
      </c>
      <c r="M4" s="7">
        <v>3.38858E-3</v>
      </c>
      <c r="N4">
        <f>(M4-M2)/M2</f>
        <v>-2.2102811694664354E-2</v>
      </c>
    </row>
    <row r="5" spans="1:15" x14ac:dyDescent="0.2">
      <c r="A5" t="s">
        <v>12</v>
      </c>
      <c r="B5" t="s">
        <v>14</v>
      </c>
      <c r="C5" t="s">
        <v>18</v>
      </c>
      <c r="D5">
        <v>83.38</v>
      </c>
      <c r="E5" s="7">
        <v>34703203</v>
      </c>
      <c r="F5">
        <f>(E5-E2)/E2</f>
        <v>0.24190622956031596</v>
      </c>
      <c r="G5" s="7">
        <v>16.982700000000001</v>
      </c>
      <c r="H5">
        <f>(G5-G2)/G2</f>
        <v>3.1246677456320251E-3</v>
      </c>
      <c r="I5" s="7">
        <v>85866943</v>
      </c>
      <c r="J5">
        <f>(I5-I2)/I2</f>
        <v>2.4493056536562832E-2</v>
      </c>
      <c r="K5" s="7">
        <v>0.23758099999999999</v>
      </c>
      <c r="L5" s="7">
        <f>(K5-K2)/K2</f>
        <v>-1.2514963091042153E-2</v>
      </c>
      <c r="M5" s="7">
        <v>3.49264E-3</v>
      </c>
      <c r="N5">
        <f>(M5-M2)/M2</f>
        <v>7.9274609903698598E-3</v>
      </c>
    </row>
    <row r="6" spans="1:15" x14ac:dyDescent="0.2">
      <c r="A6" t="s">
        <v>12</v>
      </c>
      <c r="B6" t="s">
        <v>14</v>
      </c>
      <c r="C6" t="s">
        <v>25</v>
      </c>
      <c r="D6" s="7">
        <v>51.35</v>
      </c>
      <c r="E6" s="7">
        <v>37325082</v>
      </c>
      <c r="F6">
        <f>(E6-E2)/E2</f>
        <v>0.33573410657943065</v>
      </c>
      <c r="G6" s="7">
        <v>17.979900000000001</v>
      </c>
      <c r="H6">
        <f>(G6-G2)/G2</f>
        <v>6.202672211130672E-2</v>
      </c>
      <c r="I6" s="7"/>
      <c r="J6" s="7"/>
      <c r="K6" s="7">
        <v>0.22824800000000001</v>
      </c>
      <c r="L6" s="7">
        <f>(K6-K2)/K2</f>
        <v>-5.1306776617676374E-2</v>
      </c>
      <c r="M6" s="7">
        <v>3.3180499999999999E-3</v>
      </c>
      <c r="N6">
        <f>(M6-M2)/M2</f>
        <v>-4.2456791441689769E-2</v>
      </c>
    </row>
    <row r="7" spans="1:15" x14ac:dyDescent="0.2">
      <c r="A7" t="s">
        <v>12</v>
      </c>
      <c r="B7" t="s">
        <v>21</v>
      </c>
      <c r="C7" t="s">
        <v>15</v>
      </c>
      <c r="D7" s="7">
        <v>37.69</v>
      </c>
      <c r="E7" s="7">
        <v>29068842</v>
      </c>
      <c r="F7">
        <v>0</v>
      </c>
      <c r="G7" s="8">
        <v>17.125399999999999</v>
      </c>
      <c r="H7">
        <v>0</v>
      </c>
      <c r="I7" s="8">
        <v>76563321</v>
      </c>
      <c r="J7">
        <v>0</v>
      </c>
      <c r="K7" s="7">
        <v>0.27393099999999998</v>
      </c>
      <c r="L7" s="7">
        <v>0</v>
      </c>
      <c r="M7" s="7">
        <v>5.5263899999999999E-3</v>
      </c>
      <c r="N7">
        <v>0</v>
      </c>
    </row>
    <row r="8" spans="1:15" x14ac:dyDescent="0.2">
      <c r="A8" t="s">
        <v>12</v>
      </c>
      <c r="B8" t="s">
        <v>21</v>
      </c>
      <c r="C8" t="s">
        <v>16</v>
      </c>
      <c r="D8" s="7">
        <v>47.86</v>
      </c>
      <c r="E8" s="7">
        <v>29944798</v>
      </c>
      <c r="F8">
        <f>(E8-E7)/E7</f>
        <v>3.013384571700517E-2</v>
      </c>
      <c r="G8" s="7">
        <v>17.222899999999999</v>
      </c>
      <c r="H8">
        <f>(G8-G7)/G7</f>
        <v>5.6932976747988452E-3</v>
      </c>
      <c r="I8" s="7">
        <v>78142028</v>
      </c>
      <c r="J8">
        <f>(I8-I7)/I7</f>
        <v>2.0619625420898343E-2</v>
      </c>
      <c r="K8" s="7">
        <v>0.26722200000000002</v>
      </c>
      <c r="L8" s="7">
        <f>(K8-K7)/K7</f>
        <v>-2.4491569044759319E-2</v>
      </c>
      <c r="M8" s="7">
        <v>5.6218500000000003E-3</v>
      </c>
      <c r="N8">
        <f>(M8-M7)/M7</f>
        <v>1.7273482327523092E-2</v>
      </c>
    </row>
    <row r="9" spans="1:15" x14ac:dyDescent="0.2">
      <c r="A9" t="s">
        <v>12</v>
      </c>
      <c r="B9" t="s">
        <v>21</v>
      </c>
      <c r="C9" t="s">
        <v>17</v>
      </c>
      <c r="D9" s="7">
        <v>57.68</v>
      </c>
      <c r="E9" s="7">
        <v>32317072</v>
      </c>
      <c r="F9">
        <f>(E9-E7)/E7</f>
        <v>0.11174266935022729</v>
      </c>
      <c r="G9" s="7">
        <v>17.225899999999999</v>
      </c>
      <c r="H9">
        <f>(G9-G7)/G7</f>
        <v>5.8684760647926626E-3</v>
      </c>
      <c r="I9" s="7">
        <v>79127559</v>
      </c>
      <c r="J9">
        <f>(I9-I7)/I7</f>
        <v>3.3491729022569437E-2</v>
      </c>
      <c r="K9" s="7">
        <v>0.26394299999999998</v>
      </c>
      <c r="L9" s="7">
        <f>(K9-K7)/K7</f>
        <v>-3.6461736714720125E-2</v>
      </c>
      <c r="M9" s="7">
        <v>5.6897500000000004E-3</v>
      </c>
      <c r="N9">
        <f>(M9-M7)/M7</f>
        <v>2.9559984004024403E-2</v>
      </c>
    </row>
    <row r="10" spans="1:15" x14ac:dyDescent="0.2">
      <c r="A10" t="s">
        <v>12</v>
      </c>
      <c r="B10" t="s">
        <v>21</v>
      </c>
      <c r="C10" t="s">
        <v>18</v>
      </c>
      <c r="D10" s="7">
        <v>78.760000000000005</v>
      </c>
      <c r="E10" s="7">
        <v>39582639</v>
      </c>
      <c r="F10">
        <f>(E10-E7)/E7</f>
        <v>0.36168613115032239</v>
      </c>
      <c r="G10" s="7">
        <v>17.222999999999999</v>
      </c>
      <c r="H10">
        <f>(G10-G7)/G7</f>
        <v>5.699136954465292E-3</v>
      </c>
      <c r="I10" s="7">
        <v>80021764</v>
      </c>
      <c r="J10">
        <f>(I10-I7)/I7</f>
        <v>4.5171016027374257E-2</v>
      </c>
      <c r="K10" s="7">
        <v>0.26265899999999998</v>
      </c>
      <c r="L10" s="7">
        <f>(K10-K7)/K7</f>
        <v>-4.1149048483012166E-2</v>
      </c>
      <c r="M10" s="7">
        <v>6.1550399999999996E-3</v>
      </c>
      <c r="N10">
        <f>(M10-M7)/M7</f>
        <v>0.11375418672949243</v>
      </c>
    </row>
    <row r="11" spans="1:15" x14ac:dyDescent="0.2">
      <c r="A11" t="s">
        <v>12</v>
      </c>
      <c r="B11" s="10" t="s">
        <v>21</v>
      </c>
      <c r="C11" t="s">
        <v>25</v>
      </c>
      <c r="D11" s="7">
        <v>39.96</v>
      </c>
      <c r="E11" s="7">
        <v>42592568</v>
      </c>
      <c r="F11">
        <f>(E11-E7)/E7</f>
        <v>0.46523098512145755</v>
      </c>
      <c r="G11" s="7">
        <v>17.826699999999999</v>
      </c>
      <c r="H11">
        <f>(G11-G7)/G7</f>
        <v>4.0950868300886394E-2</v>
      </c>
      <c r="I11" s="7"/>
      <c r="K11" s="7">
        <v>0.26062200000000002</v>
      </c>
      <c r="L11" s="7">
        <f>(K11-K7)/K7</f>
        <v>-4.8585227666821065E-2</v>
      </c>
      <c r="M11" s="7">
        <v>6.9020399999999999E-3</v>
      </c>
      <c r="N11">
        <f>(M11-M7)/M7</f>
        <v>0.24892380016611204</v>
      </c>
    </row>
    <row r="12" spans="1:15" x14ac:dyDescent="0.2">
      <c r="A12" t="s">
        <v>12</v>
      </c>
      <c r="B12" t="s">
        <v>22</v>
      </c>
      <c r="C12" t="s">
        <v>15</v>
      </c>
      <c r="D12" s="7">
        <v>41.2</v>
      </c>
      <c r="E12" s="7">
        <v>26264023</v>
      </c>
      <c r="F12">
        <v>0</v>
      </c>
      <c r="G12" s="8">
        <v>16.9298</v>
      </c>
      <c r="H12">
        <v>0</v>
      </c>
      <c r="I12" s="8">
        <v>83010701</v>
      </c>
      <c r="J12">
        <v>0</v>
      </c>
      <c r="K12" s="7">
        <v>0.41114099999999998</v>
      </c>
      <c r="L12" s="7">
        <v>0</v>
      </c>
      <c r="M12" s="7">
        <v>4.0112300000000002E-3</v>
      </c>
      <c r="N12">
        <v>0</v>
      </c>
    </row>
    <row r="13" spans="1:15" x14ac:dyDescent="0.2">
      <c r="A13" t="s">
        <v>12</v>
      </c>
      <c r="B13" t="s">
        <v>22</v>
      </c>
      <c r="C13" t="s">
        <v>16</v>
      </c>
      <c r="D13" s="7">
        <v>50.98</v>
      </c>
      <c r="E13" s="7">
        <v>27038071</v>
      </c>
      <c r="F13">
        <f>(E13-E12)/E12</f>
        <v>2.9471798741571312E-2</v>
      </c>
      <c r="G13" s="7">
        <v>16.9922</v>
      </c>
      <c r="H13">
        <f>(G13-G12)/G12</f>
        <v>3.6858084560951834E-3</v>
      </c>
      <c r="I13" s="7">
        <v>81699553</v>
      </c>
      <c r="J13">
        <f>(I13-I12)/I12</f>
        <v>-1.5794927451582418E-2</v>
      </c>
      <c r="K13" s="7">
        <v>0.41114099999999998</v>
      </c>
      <c r="L13" s="7">
        <f t="shared" ref="L13:L43" si="0">(K13-K12)/K12</f>
        <v>0</v>
      </c>
      <c r="M13" s="7">
        <v>4.0112300000000002E-3</v>
      </c>
      <c r="N13">
        <f>(M13-M12)/M12</f>
        <v>0</v>
      </c>
    </row>
    <row r="14" spans="1:15" x14ac:dyDescent="0.2">
      <c r="A14" t="s">
        <v>12</v>
      </c>
      <c r="B14" t="s">
        <v>22</v>
      </c>
      <c r="C14" t="s">
        <v>17</v>
      </c>
      <c r="D14" s="7">
        <v>60.43</v>
      </c>
      <c r="E14" s="7">
        <v>29279063</v>
      </c>
      <c r="F14">
        <f>(E14-E12)/E12</f>
        <v>0.11479734083388519</v>
      </c>
      <c r="G14" s="7">
        <v>16.965599999999998</v>
      </c>
      <c r="H14">
        <f>(G14-G12)/G12</f>
        <v>2.1146144667980884E-3</v>
      </c>
      <c r="I14" s="7">
        <v>82409320</v>
      </c>
      <c r="J14">
        <f>(I14-I12)/I12</f>
        <v>-7.2446201845711433E-3</v>
      </c>
      <c r="K14" s="7">
        <v>0.405783</v>
      </c>
      <c r="L14" s="7">
        <f>(K14-K12)/K12</f>
        <v>-1.3032025509496678E-2</v>
      </c>
      <c r="M14" s="7">
        <v>3.54171E-3</v>
      </c>
      <c r="N14">
        <f>(M14-M12)/M12</f>
        <v>-0.11705137825554759</v>
      </c>
    </row>
    <row r="15" spans="1:15" x14ac:dyDescent="0.2">
      <c r="A15" t="s">
        <v>12</v>
      </c>
      <c r="B15" t="s">
        <v>22</v>
      </c>
      <c r="C15" t="s">
        <v>18</v>
      </c>
      <c r="D15" s="7">
        <v>80.61</v>
      </c>
      <c r="E15" s="7">
        <v>35238696</v>
      </c>
      <c r="F15">
        <f>(E15-E12)/E12</f>
        <v>0.34170976015365201</v>
      </c>
      <c r="G15" s="7">
        <v>16.982700000000001</v>
      </c>
      <c r="H15">
        <f t="shared" ref="H15:H60" si="1">(G15-G12)/G12</f>
        <v>3.1246677456320251E-3</v>
      </c>
      <c r="I15" s="7">
        <v>82694335</v>
      </c>
      <c r="J15">
        <f>(I15-I12)/I12</f>
        <v>-3.8111471917337499E-3</v>
      </c>
      <c r="K15" s="7">
        <v>0.40713500000000002</v>
      </c>
      <c r="L15" s="7">
        <f>(K15-K12)/K12</f>
        <v>-9.743615937111488E-3</v>
      </c>
      <c r="M15" s="7">
        <v>3.6174200000000001E-3</v>
      </c>
      <c r="N15">
        <f>(M15-M12)/M12</f>
        <v>-9.817686844184953E-2</v>
      </c>
    </row>
    <row r="16" spans="1:15" x14ac:dyDescent="0.2">
      <c r="A16" t="s">
        <v>12</v>
      </c>
      <c r="B16" t="s">
        <v>22</v>
      </c>
      <c r="C16" t="s">
        <v>25</v>
      </c>
      <c r="D16" s="7">
        <v>48.5</v>
      </c>
      <c r="E16" s="7">
        <v>38563456</v>
      </c>
      <c r="F16">
        <f>(E16-E12)/E12</f>
        <v>0.46829965843389643</v>
      </c>
      <c r="G16" s="7">
        <v>17.472999999999999</v>
      </c>
      <c r="H16">
        <f>(G16-G12)/G12</f>
        <v>3.2085435149854034E-2</v>
      </c>
      <c r="I16" s="7"/>
      <c r="K16" s="7">
        <v>0.406032</v>
      </c>
      <c r="L16" s="7">
        <f>(K16-K12)/K12</f>
        <v>-1.2426393864878411E-2</v>
      </c>
      <c r="M16" s="7">
        <v>3.8954300000000001E-3</v>
      </c>
      <c r="N16">
        <f>(M16-M12)/M12</f>
        <v>-2.8868950421691127E-2</v>
      </c>
    </row>
    <row r="17" spans="1:14" x14ac:dyDescent="0.2">
      <c r="A17" t="s">
        <v>13</v>
      </c>
      <c r="B17" t="s">
        <v>14</v>
      </c>
      <c r="C17" t="s">
        <v>15</v>
      </c>
      <c r="D17" s="6">
        <v>99.24</v>
      </c>
      <c r="E17" s="7">
        <v>69954152</v>
      </c>
      <c r="F17">
        <v>0</v>
      </c>
      <c r="G17" s="8">
        <v>15.6435</v>
      </c>
      <c r="H17">
        <v>0</v>
      </c>
      <c r="I17" s="8">
        <v>445819752</v>
      </c>
      <c r="J17">
        <v>0</v>
      </c>
      <c r="K17" s="7">
        <v>9.1317499999999996E-2</v>
      </c>
      <c r="L17" s="7">
        <v>0</v>
      </c>
      <c r="M17" s="7">
        <v>5.90955E-4</v>
      </c>
      <c r="N17">
        <v>0</v>
      </c>
    </row>
    <row r="18" spans="1:14" x14ac:dyDescent="0.2">
      <c r="A18" t="s">
        <v>13</v>
      </c>
      <c r="B18" t="s">
        <v>14</v>
      </c>
      <c r="C18" t="s">
        <v>16</v>
      </c>
      <c r="D18" s="7">
        <v>99.39</v>
      </c>
      <c r="E18" s="7">
        <v>69947614</v>
      </c>
      <c r="F18">
        <f>(E18-E17)/E17</f>
        <v>-9.3461214425128049E-5</v>
      </c>
      <c r="G18" s="7">
        <v>15.643700000000001</v>
      </c>
      <c r="H18">
        <f>(G18-G17)/G17</f>
        <v>1.2784862722620273E-5</v>
      </c>
      <c r="I18" s="7">
        <v>445762852</v>
      </c>
      <c r="J18">
        <f>(I18-I17)/I17</f>
        <v>-1.27630056193652E-4</v>
      </c>
      <c r="K18" s="7">
        <v>9.1271099999999994E-2</v>
      </c>
      <c r="L18" s="7">
        <f>(K18-K17)/K17</f>
        <v>-5.0811728310566975E-4</v>
      </c>
      <c r="M18" s="7">
        <v>5.9198200000000001E-4</v>
      </c>
      <c r="N18">
        <f>(M18-M17)/M17</f>
        <v>1.737864981259175E-3</v>
      </c>
    </row>
    <row r="19" spans="1:14" x14ac:dyDescent="0.2">
      <c r="A19" t="s">
        <v>13</v>
      </c>
      <c r="B19" t="s">
        <v>14</v>
      </c>
      <c r="C19" t="s">
        <v>17</v>
      </c>
      <c r="D19" s="7">
        <v>99.5</v>
      </c>
      <c r="E19" s="7">
        <v>69937376</v>
      </c>
      <c r="F19">
        <f>(E19-E17)/E17</f>
        <v>-2.3981421431568494E-4</v>
      </c>
      <c r="G19" s="7">
        <v>15.6439</v>
      </c>
      <c r="H19">
        <f>(G19-G17)/G17</f>
        <v>2.5569725445126993E-5</v>
      </c>
      <c r="I19" s="7">
        <v>445726117</v>
      </c>
      <c r="J19">
        <f>(I19-I17)/I17</f>
        <v>-2.1002882797350799E-4</v>
      </c>
      <c r="K19" s="7">
        <v>9.1211899999999999E-2</v>
      </c>
      <c r="L19" s="7">
        <f>(K19-K17)/K17</f>
        <v>-1.1564048512059284E-3</v>
      </c>
      <c r="M19" s="7">
        <v>5.9018199999999997E-4</v>
      </c>
      <c r="N19">
        <f>(M19-M17)/M17</f>
        <v>-1.3080522205582963E-3</v>
      </c>
    </row>
    <row r="20" spans="1:14" x14ac:dyDescent="0.2">
      <c r="A20" t="s">
        <v>13</v>
      </c>
      <c r="B20" t="s">
        <v>14</v>
      </c>
      <c r="C20" t="s">
        <v>18</v>
      </c>
      <c r="D20" s="7">
        <v>99.69</v>
      </c>
      <c r="E20" s="7">
        <v>69982655</v>
      </c>
      <c r="F20">
        <f>(E20-E17)/E17</f>
        <v>4.0745258408678874E-4</v>
      </c>
      <c r="G20" s="7">
        <v>15.6455</v>
      </c>
      <c r="H20">
        <f t="shared" si="1"/>
        <v>1.2784862722540786E-4</v>
      </c>
      <c r="I20" s="7">
        <v>445703765</v>
      </c>
      <c r="J20">
        <f>(I20-I17)/I17</f>
        <v>-2.6016568238546777E-4</v>
      </c>
      <c r="K20">
        <v>9.1190099999999996E-2</v>
      </c>
      <c r="L20" s="7">
        <f>(K20-K17)/K17</f>
        <v>-1.3951323678374873E-3</v>
      </c>
      <c r="M20" s="7">
        <v>5.8840599999999998E-4</v>
      </c>
      <c r="N20">
        <f>(M20-M17)/M17</f>
        <v>-4.3133571930181131E-3</v>
      </c>
    </row>
    <row r="21" spans="1:14" x14ac:dyDescent="0.2">
      <c r="A21" t="s">
        <v>13</v>
      </c>
      <c r="B21" t="s">
        <v>14</v>
      </c>
      <c r="C21" t="s">
        <v>25</v>
      </c>
      <c r="D21" s="7">
        <v>99.25</v>
      </c>
      <c r="E21" s="7">
        <v>65410042</v>
      </c>
      <c r="F21">
        <f>(E21-E17)/E17</f>
        <v>-6.495840304089455E-2</v>
      </c>
      <c r="G21" s="7">
        <v>15.6973</v>
      </c>
      <c r="H21">
        <f>(G21-G17)/G17</f>
        <v>3.4391280723623701E-3</v>
      </c>
      <c r="I21" s="7"/>
      <c r="J21" s="7"/>
      <c r="K21" s="7">
        <v>9.07863E-2</v>
      </c>
      <c r="L21" s="7">
        <f>(K21-K17)/K17</f>
        <v>-5.817066827278403E-3</v>
      </c>
      <c r="M21" s="7">
        <v>5.0855099999999999E-4</v>
      </c>
      <c r="N21" s="7">
        <f>(M21-M17)/M17</f>
        <v>-0.13944208949920045</v>
      </c>
    </row>
    <row r="22" spans="1:14" x14ac:dyDescent="0.2">
      <c r="A22" t="s">
        <v>13</v>
      </c>
      <c r="B22" t="s">
        <v>21</v>
      </c>
      <c r="C22" t="s">
        <v>15</v>
      </c>
      <c r="D22" s="7">
        <v>46.1</v>
      </c>
      <c r="E22" s="7">
        <v>29502209</v>
      </c>
      <c r="F22">
        <v>0</v>
      </c>
      <c r="G22" s="8">
        <v>15.6858</v>
      </c>
      <c r="H22">
        <v>0</v>
      </c>
      <c r="I22" s="8">
        <v>83476475</v>
      </c>
      <c r="J22">
        <v>0</v>
      </c>
      <c r="K22" s="7">
        <v>0.27274999999999999</v>
      </c>
      <c r="L22" s="7">
        <v>0</v>
      </c>
      <c r="M22" s="7">
        <v>6.7061100000000004E-3</v>
      </c>
      <c r="N22">
        <v>0</v>
      </c>
    </row>
    <row r="23" spans="1:14" x14ac:dyDescent="0.2">
      <c r="A23" t="s">
        <v>13</v>
      </c>
      <c r="B23" t="s">
        <v>21</v>
      </c>
      <c r="C23" t="s">
        <v>16</v>
      </c>
      <c r="D23" s="7">
        <v>55.67</v>
      </c>
      <c r="E23" s="7">
        <v>30767991</v>
      </c>
      <c r="F23">
        <f>(E23-E22)/E22</f>
        <v>4.2904651648288439E-2</v>
      </c>
      <c r="G23" s="7">
        <v>15.755800000000001</v>
      </c>
      <c r="H23">
        <f>(G23-G22)/G22</f>
        <v>4.4626349947086081E-3</v>
      </c>
      <c r="I23" s="7">
        <v>85007252</v>
      </c>
      <c r="J23">
        <f>(I23-I22)/I22</f>
        <v>1.8337825117795165E-2</v>
      </c>
      <c r="K23" s="7">
        <v>0.26756000000000002</v>
      </c>
      <c r="L23" s="7">
        <f>(K23-K22)/K22</f>
        <v>-1.9028414298808333E-2</v>
      </c>
      <c r="M23" s="7">
        <v>6.9521499999999998E-3</v>
      </c>
      <c r="N23">
        <f>(M23-M22)/M22</f>
        <v>3.6688929945974558E-2</v>
      </c>
    </row>
    <row r="24" spans="1:14" x14ac:dyDescent="0.2">
      <c r="A24" t="s">
        <v>13</v>
      </c>
      <c r="B24" t="s">
        <v>21</v>
      </c>
      <c r="C24" t="s">
        <v>17</v>
      </c>
      <c r="D24" s="7">
        <v>65.13</v>
      </c>
      <c r="E24" s="7">
        <v>32149093</v>
      </c>
      <c r="F24">
        <f>(E24-E22)/E22</f>
        <v>8.9718163138224671E-2</v>
      </c>
      <c r="G24" s="7">
        <v>15.7524</v>
      </c>
      <c r="H24">
        <f>(G24-G22)/G22</f>
        <v>4.2458784378227015E-3</v>
      </c>
      <c r="I24" s="7">
        <v>85787613</v>
      </c>
      <c r="J24">
        <f>(I24-I22)/I22</f>
        <v>2.7686099586739857E-2</v>
      </c>
      <c r="K24" s="7">
        <v>0.26414300000000002</v>
      </c>
      <c r="L24" s="7">
        <f>(K24-K22)/K22</f>
        <v>-3.1556370302474705E-2</v>
      </c>
      <c r="M24" s="7">
        <v>6.9079199999999997E-3</v>
      </c>
      <c r="N24">
        <f>(M24-M22)/M22</f>
        <v>3.0093452090705238E-2</v>
      </c>
    </row>
    <row r="25" spans="1:14" x14ac:dyDescent="0.2">
      <c r="A25" t="s">
        <v>13</v>
      </c>
      <c r="B25" t="s">
        <v>21</v>
      </c>
      <c r="C25" t="s">
        <v>18</v>
      </c>
      <c r="D25" s="7">
        <v>82.58</v>
      </c>
      <c r="E25" s="7">
        <v>36488191</v>
      </c>
      <c r="F25">
        <f t="shared" ref="F25:F30" si="2">(E25-E22)/E22</f>
        <v>0.23679521760556982</v>
      </c>
      <c r="G25" s="7">
        <v>15.7653</v>
      </c>
      <c r="H25">
        <f>(G25-G22)/G22</f>
        <v>5.0682783154190067E-3</v>
      </c>
      <c r="I25" s="7">
        <v>86530189</v>
      </c>
      <c r="J25">
        <f>(I25-I22)/I22</f>
        <v>3.6581731559699904E-2</v>
      </c>
      <c r="K25" s="7">
        <v>0.26330399999999998</v>
      </c>
      <c r="L25" s="7">
        <f>(K25-K22)/K22</f>
        <v>-3.4632447296058702E-2</v>
      </c>
      <c r="M25" s="7">
        <v>7.3265700000000001E-3</v>
      </c>
      <c r="N25">
        <f>(M25-M22)/M22</f>
        <v>9.2521595977399673E-2</v>
      </c>
    </row>
    <row r="26" spans="1:14" x14ac:dyDescent="0.2">
      <c r="A26" t="s">
        <v>13</v>
      </c>
      <c r="B26" t="s">
        <v>21</v>
      </c>
      <c r="C26" t="s">
        <v>25</v>
      </c>
      <c r="D26" s="7">
        <v>50.7</v>
      </c>
      <c r="E26" s="7">
        <v>37884152</v>
      </c>
      <c r="F26">
        <f>(E26-E22)/E22</f>
        <v>0.28411238629622615</v>
      </c>
      <c r="G26" s="7">
        <v>15.9956</v>
      </c>
      <c r="H26">
        <f>(G26-G22)/G22</f>
        <v>1.9750347448010248E-2</v>
      </c>
      <c r="I26" s="7"/>
      <c r="K26" s="7">
        <v>0.26228600000000002</v>
      </c>
      <c r="L26" s="7">
        <f>(K26-K22)/K22</f>
        <v>-3.8364802933088811E-2</v>
      </c>
      <c r="M26" s="7">
        <v>7.4270899999999999E-3</v>
      </c>
      <c r="N26">
        <f>(M26-M22)/M22</f>
        <v>0.10751091169098025</v>
      </c>
    </row>
    <row r="27" spans="1:14" x14ac:dyDescent="0.2">
      <c r="A27" t="s">
        <v>13</v>
      </c>
      <c r="B27" t="s">
        <v>22</v>
      </c>
      <c r="C27" t="s">
        <v>15</v>
      </c>
      <c r="D27" s="7">
        <v>50.06</v>
      </c>
      <c r="E27" s="7">
        <v>28071772</v>
      </c>
      <c r="F27">
        <v>0</v>
      </c>
      <c r="G27" s="8">
        <v>16.649699999999999</v>
      </c>
      <c r="H27">
        <v>0</v>
      </c>
      <c r="I27" s="8">
        <v>79599452</v>
      </c>
      <c r="J27">
        <v>0</v>
      </c>
      <c r="K27" s="7">
        <v>0.40104400000000001</v>
      </c>
      <c r="L27" s="7">
        <v>0</v>
      </c>
      <c r="M27" s="7">
        <v>5.3627700000000002E-3</v>
      </c>
      <c r="N27">
        <v>0</v>
      </c>
    </row>
    <row r="28" spans="1:14" x14ac:dyDescent="0.2">
      <c r="A28" t="s">
        <v>13</v>
      </c>
      <c r="B28" t="s">
        <v>22</v>
      </c>
      <c r="C28" t="s">
        <v>16</v>
      </c>
      <c r="D28" s="7">
        <v>59.89</v>
      </c>
      <c r="E28" s="7">
        <v>29229344</v>
      </c>
      <c r="F28">
        <f>(E28-E27)/E27</f>
        <v>4.1236157090475088E-2</v>
      </c>
      <c r="G28" s="7">
        <v>15.2699</v>
      </c>
      <c r="H28">
        <f>(G28-G27)/G27</f>
        <v>-8.2872364066619797E-2</v>
      </c>
      <c r="I28" s="7">
        <v>89279078</v>
      </c>
      <c r="J28">
        <f>(I28-I27)/I27</f>
        <v>0.12160417888304055</v>
      </c>
      <c r="K28" s="7">
        <v>0.40104400000000001</v>
      </c>
      <c r="L28" s="7">
        <f>(K28-K27)/K27</f>
        <v>0</v>
      </c>
      <c r="M28" s="7">
        <v>5.3627700000000002E-3</v>
      </c>
      <c r="N28">
        <f t="shared" ref="N28" si="3">(M28-M27)/M27</f>
        <v>0</v>
      </c>
    </row>
    <row r="29" spans="1:14" x14ac:dyDescent="0.2">
      <c r="A29" t="s">
        <v>13</v>
      </c>
      <c r="B29" t="s">
        <v>22</v>
      </c>
      <c r="C29" t="s">
        <v>17</v>
      </c>
      <c r="D29" s="7">
        <v>68.8</v>
      </c>
      <c r="E29" s="7">
        <v>30315231</v>
      </c>
      <c r="F29">
        <f>(E29-E27)/E27</f>
        <v>7.9918681300204353E-2</v>
      </c>
      <c r="G29" s="7">
        <v>15.237299999999999</v>
      </c>
      <c r="H29">
        <f>(G29-G27)/G27</f>
        <v>-8.4830357303735199E-2</v>
      </c>
      <c r="I29" s="7">
        <v>89724715</v>
      </c>
      <c r="J29">
        <f>(I29-I27)/I27</f>
        <v>0.12720267219930106</v>
      </c>
      <c r="K29" s="7">
        <v>0.39777699999999999</v>
      </c>
      <c r="L29" s="7">
        <f>(K29-K27)/K27</f>
        <v>-8.1462383179900962E-3</v>
      </c>
      <c r="M29" s="7">
        <v>5.2079200000000004E-3</v>
      </c>
      <c r="N29">
        <f>(M29-M27)/M27</f>
        <v>-2.887500303015042E-2</v>
      </c>
    </row>
    <row r="30" spans="1:14" x14ac:dyDescent="0.2">
      <c r="A30" t="s">
        <v>13</v>
      </c>
      <c r="B30" t="s">
        <v>22</v>
      </c>
      <c r="C30" t="s">
        <v>18</v>
      </c>
      <c r="D30" s="7">
        <v>84.55</v>
      </c>
      <c r="E30" s="7">
        <v>33997252</v>
      </c>
      <c r="F30">
        <f>(E30-E27)/E27</f>
        <v>0.21108321911420483</v>
      </c>
      <c r="G30" s="7">
        <v>15.2281</v>
      </c>
      <c r="H30">
        <f t="shared" si="1"/>
        <v>-8.5382919812368979E-2</v>
      </c>
      <c r="I30" s="7">
        <v>90165980</v>
      </c>
      <c r="J30">
        <f>(I30-I27)/I27</f>
        <v>0.13274624051431913</v>
      </c>
      <c r="K30" s="7">
        <v>0.39779199999999998</v>
      </c>
      <c r="L30" s="7">
        <f>(K30-K27)/K27</f>
        <v>-8.108835938201376E-3</v>
      </c>
      <c r="M30" s="7">
        <v>5.2317199999999996E-3</v>
      </c>
      <c r="N30">
        <f>(M30-M27)/M27</f>
        <v>-2.4436998043921444E-2</v>
      </c>
    </row>
    <row r="31" spans="1:14" x14ac:dyDescent="0.2">
      <c r="A31" t="s">
        <v>13</v>
      </c>
      <c r="B31" t="s">
        <v>22</v>
      </c>
      <c r="C31" t="s">
        <v>25</v>
      </c>
      <c r="D31" s="7">
        <v>56.8</v>
      </c>
      <c r="E31" s="7">
        <v>35583465</v>
      </c>
      <c r="F31">
        <f>(E31-E27)/E27</f>
        <v>0.26758884334056288</v>
      </c>
      <c r="G31" s="7">
        <v>15.572699999999999</v>
      </c>
      <c r="H31">
        <f>(G31-G27)/G27</f>
        <v>-6.4685850195499023E-2</v>
      </c>
      <c r="I31" s="7"/>
      <c r="K31" s="7">
        <v>0.38905699999999999</v>
      </c>
      <c r="L31" s="7">
        <f>(K31-K27)/K27</f>
        <v>-2.9889488435184231E-2</v>
      </c>
      <c r="M31" s="7">
        <v>5.3916299999999997E-3</v>
      </c>
      <c r="N31">
        <f>(M31-M27)/M27</f>
        <v>5.3815472227970763E-3</v>
      </c>
    </row>
    <row r="32" spans="1:14" x14ac:dyDescent="0.2">
      <c r="A32" t="s">
        <v>23</v>
      </c>
      <c r="B32" t="s">
        <v>14</v>
      </c>
      <c r="C32" t="s">
        <v>15</v>
      </c>
      <c r="D32" s="6">
        <v>47.12</v>
      </c>
      <c r="E32" s="7">
        <v>46938440</v>
      </c>
      <c r="F32">
        <v>0</v>
      </c>
      <c r="G32" s="8">
        <v>35.163400000000003</v>
      </c>
      <c r="H32">
        <v>0</v>
      </c>
      <c r="I32" s="8">
        <v>93841024</v>
      </c>
      <c r="J32">
        <v>0</v>
      </c>
      <c r="K32" s="7">
        <v>0.190466</v>
      </c>
      <c r="L32" s="7">
        <v>0</v>
      </c>
      <c r="M32" s="7">
        <v>7.0387599999999998E-3</v>
      </c>
      <c r="N32">
        <v>0</v>
      </c>
    </row>
    <row r="33" spans="1:14" x14ac:dyDescent="0.2">
      <c r="A33" t="s">
        <v>23</v>
      </c>
      <c r="B33" t="s">
        <v>14</v>
      </c>
      <c r="C33" t="s">
        <v>16</v>
      </c>
      <c r="D33" s="7">
        <v>55.64</v>
      </c>
      <c r="E33" s="7">
        <v>51157867</v>
      </c>
      <c r="F33">
        <f>(E33-E32)/E32</f>
        <v>8.9892782972761764E-2</v>
      </c>
      <c r="G33" s="7">
        <v>35.348100000000002</v>
      </c>
      <c r="H33">
        <f>(G33-G32)/G32</f>
        <v>5.2526206225791423E-3</v>
      </c>
      <c r="I33" s="7">
        <v>95274235</v>
      </c>
      <c r="J33">
        <f>(I33-I32)/I32</f>
        <v>1.5272755335662152E-2</v>
      </c>
      <c r="K33" s="7">
        <v>0.18947700000000001</v>
      </c>
      <c r="L33" s="7">
        <f>(K33-K32)/K32</f>
        <v>-5.1925278002372599E-3</v>
      </c>
      <c r="M33" s="7">
        <v>7.1787200000000004E-3</v>
      </c>
      <c r="N33">
        <f>(M33-M32)/M32</f>
        <v>1.9884184146071269E-2</v>
      </c>
    </row>
    <row r="34" spans="1:14" x14ac:dyDescent="0.2">
      <c r="A34" t="s">
        <v>23</v>
      </c>
      <c r="B34" t="s">
        <v>14</v>
      </c>
      <c r="C34" t="s">
        <v>17</v>
      </c>
      <c r="D34" s="7">
        <v>64.959999999999994</v>
      </c>
      <c r="E34" s="7">
        <v>54094824</v>
      </c>
      <c r="F34">
        <f>(E34-E32)/E32</f>
        <v>0.15246318369336517</v>
      </c>
      <c r="G34" s="7">
        <v>35.075400000000002</v>
      </c>
      <c r="H34">
        <f>(G34-G32)/G32</f>
        <v>-2.5026021374497621E-3</v>
      </c>
      <c r="I34" s="7">
        <v>96249520</v>
      </c>
      <c r="J34">
        <f>(I34-I32)/I32</f>
        <v>2.5665704585661812E-2</v>
      </c>
      <c r="K34" s="7">
        <v>0.19481399999999999</v>
      </c>
      <c r="L34" s="7">
        <f>(K34-K32)/K32</f>
        <v>2.2828221309840028E-2</v>
      </c>
      <c r="M34" s="7">
        <v>6.8659999999999997E-3</v>
      </c>
      <c r="N34">
        <f>(M34-M32)/M32</f>
        <v>-2.4544095835061872E-2</v>
      </c>
    </row>
    <row r="35" spans="1:14" x14ac:dyDescent="0.2">
      <c r="A35" t="s">
        <v>23</v>
      </c>
      <c r="B35" t="s">
        <v>14</v>
      </c>
      <c r="C35" t="s">
        <v>18</v>
      </c>
      <c r="D35" s="7">
        <v>83.2</v>
      </c>
      <c r="E35" s="7">
        <v>62214982</v>
      </c>
      <c r="F35">
        <f>(E35-E32)/E32</f>
        <v>0.32545909067280465</v>
      </c>
      <c r="G35" s="7">
        <v>34.828699999999998</v>
      </c>
      <c r="H35">
        <f t="shared" si="1"/>
        <v>-9.5184197205049875E-3</v>
      </c>
      <c r="I35" s="7">
        <v>96587149</v>
      </c>
      <c r="J35">
        <f>(I35-I32)/I32</f>
        <v>2.9263587319763262E-2</v>
      </c>
      <c r="K35" s="7">
        <v>0.20403099999999999</v>
      </c>
      <c r="L35" s="7">
        <f>(K35-K32)/K32</f>
        <v>7.1220060273224584E-2</v>
      </c>
      <c r="M35" s="7">
        <v>6.6353499999999999E-3</v>
      </c>
      <c r="N35">
        <f>(M35-M32)/M32</f>
        <v>-5.7312651660235595E-2</v>
      </c>
    </row>
    <row r="36" spans="1:14" x14ac:dyDescent="0.2">
      <c r="A36" t="s">
        <v>23</v>
      </c>
      <c r="B36" t="s">
        <v>14</v>
      </c>
      <c r="C36" t="s">
        <v>25</v>
      </c>
      <c r="D36" s="7">
        <v>53.52</v>
      </c>
      <c r="E36" s="7">
        <v>70669601</v>
      </c>
      <c r="F36">
        <f>(E36-E32)/E32</f>
        <v>0.50558052206251425</v>
      </c>
      <c r="G36" s="7">
        <v>38.826900000000002</v>
      </c>
      <c r="H36">
        <f>(G36-G32)/G32</f>
        <v>0.10418503330167159</v>
      </c>
      <c r="I36" s="7"/>
      <c r="K36" s="7">
        <v>0.18149499999999999</v>
      </c>
      <c r="L36" s="7">
        <f>(K36-K32)/K32</f>
        <v>-4.7100269864437785E-2</v>
      </c>
      <c r="M36" s="7">
        <v>7.1450400000000001E-3</v>
      </c>
      <c r="N36">
        <f>(M36-M32)/M32</f>
        <v>1.5099250436156406E-2</v>
      </c>
    </row>
    <row r="37" spans="1:14" x14ac:dyDescent="0.2">
      <c r="A37" t="s">
        <v>23</v>
      </c>
      <c r="B37" t="s">
        <v>21</v>
      </c>
      <c r="C37" t="s">
        <v>15</v>
      </c>
      <c r="D37" s="7">
        <v>99.82</v>
      </c>
      <c r="E37" s="7">
        <v>158392261</v>
      </c>
      <c r="F37">
        <v>0</v>
      </c>
      <c r="G37" s="8">
        <v>40.836799999999997</v>
      </c>
      <c r="H37">
        <v>0</v>
      </c>
      <c r="I37" s="8">
        <v>428793069</v>
      </c>
      <c r="J37">
        <v>0</v>
      </c>
      <c r="K37" s="7">
        <v>2.7948000000000001E-2</v>
      </c>
      <c r="L37" s="7">
        <v>0</v>
      </c>
      <c r="M37" s="7">
        <v>1.6137599999999999E-4</v>
      </c>
      <c r="N37">
        <v>0</v>
      </c>
    </row>
    <row r="38" spans="1:14" x14ac:dyDescent="0.2">
      <c r="A38" t="s">
        <v>23</v>
      </c>
      <c r="B38" t="s">
        <v>21</v>
      </c>
      <c r="C38" t="s">
        <v>16</v>
      </c>
      <c r="D38" s="7">
        <v>99.83</v>
      </c>
      <c r="E38" s="7">
        <v>158409056</v>
      </c>
      <c r="F38">
        <f>(E38-E37)/E37</f>
        <v>1.0603422095224716E-4</v>
      </c>
      <c r="G38" s="7">
        <v>40.837899999999998</v>
      </c>
      <c r="H38">
        <f>(G38-G37)/G37</f>
        <v>2.6936488657313728E-5</v>
      </c>
      <c r="I38" s="7">
        <v>428788955</v>
      </c>
      <c r="J38">
        <f>(I38-I37)/I37</f>
        <v>-9.5943714985747582E-6</v>
      </c>
      <c r="K38" s="7">
        <v>2.7936800000000001E-2</v>
      </c>
      <c r="L38" s="7">
        <f>(K38-K37)/K37</f>
        <v>-4.0074423930153873E-4</v>
      </c>
      <c r="M38" s="7">
        <v>1.65396E-4</v>
      </c>
      <c r="N38">
        <f>(M38-M37)/M37</f>
        <v>2.4910767400356967E-2</v>
      </c>
    </row>
    <row r="39" spans="1:14" x14ac:dyDescent="0.2">
      <c r="A39" t="s">
        <v>23</v>
      </c>
      <c r="B39" t="s">
        <v>21</v>
      </c>
      <c r="C39" t="s">
        <v>17</v>
      </c>
      <c r="D39" s="7">
        <v>99.86</v>
      </c>
      <c r="E39" s="7">
        <v>158443961</v>
      </c>
      <c r="F39">
        <f>(E39-E37)/E37</f>
        <v>3.2640483615547356E-4</v>
      </c>
      <c r="G39" s="7">
        <v>40.842500000000001</v>
      </c>
      <c r="H39">
        <f>(G39-G37)/G37</f>
        <v>1.3957998667879168E-4</v>
      </c>
      <c r="I39" s="7">
        <v>428805636</v>
      </c>
      <c r="J39">
        <f>(I39-I37)/I37</f>
        <v>2.9307843126540836E-5</v>
      </c>
      <c r="K39" s="7">
        <v>2.7940699999999999E-2</v>
      </c>
      <c r="L39" s="7">
        <f>(K39-K37)/K37</f>
        <v>-2.6119937025911513E-4</v>
      </c>
      <c r="M39" s="7">
        <v>1.75451E-4</v>
      </c>
      <c r="N39">
        <f>(M39-M37)/M37</f>
        <v>8.721866944279201E-2</v>
      </c>
    </row>
    <row r="40" spans="1:14" x14ac:dyDescent="0.2">
      <c r="A40" t="s">
        <v>23</v>
      </c>
      <c r="B40" t="s">
        <v>21</v>
      </c>
      <c r="C40" t="s">
        <v>18</v>
      </c>
      <c r="D40" s="7">
        <v>99.91</v>
      </c>
      <c r="E40" s="7">
        <v>158484477</v>
      </c>
      <c r="F40">
        <f>(E40-E37)/E37</f>
        <v>5.8220016191321369E-4</v>
      </c>
      <c r="G40" s="7">
        <v>40.844700000000003</v>
      </c>
      <c r="H40">
        <f>(G40-G37)/G37</f>
        <v>1.9345296399341912E-4</v>
      </c>
      <c r="I40" s="7">
        <v>428803077</v>
      </c>
      <c r="J40">
        <f>(I40-I37)/I37</f>
        <v>2.3339929498720513E-5</v>
      </c>
      <c r="K40" s="7">
        <v>2.7943699999999998E-2</v>
      </c>
      <c r="L40" s="7">
        <f>(K40-K37)/K37</f>
        <v>-1.5385716330335689E-4</v>
      </c>
      <c r="M40" s="7">
        <v>1.8249E-4</v>
      </c>
      <c r="N40">
        <f>(M40-M37)/M37</f>
        <v>0.13083729922665083</v>
      </c>
    </row>
    <row r="41" spans="1:14" x14ac:dyDescent="0.2">
      <c r="A41" t="s">
        <v>23</v>
      </c>
      <c r="B41" t="s">
        <v>21</v>
      </c>
      <c r="C41" t="s">
        <v>25</v>
      </c>
      <c r="D41" s="7">
        <v>99.82</v>
      </c>
      <c r="E41" s="7">
        <v>160227525</v>
      </c>
      <c r="F41">
        <f>(E41-E37)/E37</f>
        <v>1.1586828727699013E-2</v>
      </c>
      <c r="G41" s="7">
        <v>40.981699999999996</v>
      </c>
      <c r="H41">
        <f>(G41-G37)/G37</f>
        <v>3.5482701876738583E-3</v>
      </c>
      <c r="I41" s="7"/>
      <c r="K41" s="7">
        <v>2.6977000000000001E-2</v>
      </c>
      <c r="L41" s="7">
        <f>(K41-K37)/K37</f>
        <v>-3.4743094318019162E-2</v>
      </c>
      <c r="M41" s="7">
        <v>1.9871999999999999E-4</v>
      </c>
      <c r="N41">
        <f>(M41-M37)/M37</f>
        <v>0.2314098750743605</v>
      </c>
    </row>
    <row r="42" spans="1:14" x14ac:dyDescent="0.2">
      <c r="A42" t="s">
        <v>23</v>
      </c>
      <c r="B42" t="s">
        <v>22</v>
      </c>
      <c r="C42" t="s">
        <v>15</v>
      </c>
      <c r="D42" s="7">
        <v>66.260000000000005</v>
      </c>
      <c r="E42" s="7">
        <v>65357071</v>
      </c>
      <c r="F42">
        <v>0</v>
      </c>
      <c r="G42" s="8">
        <v>35.603299999999997</v>
      </c>
      <c r="H42">
        <v>0</v>
      </c>
      <c r="I42" s="8">
        <v>138501437</v>
      </c>
      <c r="J42">
        <v>0</v>
      </c>
      <c r="K42" s="7">
        <v>0.25227100000000002</v>
      </c>
      <c r="L42" s="7">
        <v>0</v>
      </c>
      <c r="M42" s="7">
        <v>2.8121999999999999E-3</v>
      </c>
      <c r="N42">
        <v>0</v>
      </c>
    </row>
    <row r="43" spans="1:14" x14ac:dyDescent="0.2">
      <c r="A43" t="s">
        <v>23</v>
      </c>
      <c r="B43" t="s">
        <v>22</v>
      </c>
      <c r="C43" t="s">
        <v>16</v>
      </c>
      <c r="D43" s="7">
        <v>72.760000000000005</v>
      </c>
      <c r="E43" s="7">
        <v>67234705</v>
      </c>
      <c r="F43">
        <f>(E43-E42)/E42</f>
        <v>2.8728857815552965E-2</v>
      </c>
      <c r="G43" s="8">
        <v>35.603299999999997</v>
      </c>
      <c r="H43">
        <f>(G43-G42)/G42</f>
        <v>0</v>
      </c>
      <c r="I43" s="7">
        <v>139475841</v>
      </c>
      <c r="J43">
        <f>(I43-I42)/I42</f>
        <v>7.0353349474633967E-3</v>
      </c>
      <c r="K43" s="7">
        <v>0.25227100000000002</v>
      </c>
      <c r="L43" s="7">
        <f t="shared" si="0"/>
        <v>0</v>
      </c>
      <c r="M43" s="7">
        <v>2.8121999999999999E-3</v>
      </c>
      <c r="N43">
        <f t="shared" ref="N43:N58" si="4">(M43-M42)/M42</f>
        <v>0</v>
      </c>
    </row>
    <row r="44" spans="1:14" x14ac:dyDescent="0.2">
      <c r="A44" t="s">
        <v>23</v>
      </c>
      <c r="B44" t="s">
        <v>22</v>
      </c>
      <c r="C44" t="s">
        <v>17</v>
      </c>
      <c r="D44" s="7">
        <v>78.739999999999995</v>
      </c>
      <c r="E44" s="7">
        <v>68510316</v>
      </c>
      <c r="F44">
        <f>(E44-E42)/E42</f>
        <v>4.824642462940238E-2</v>
      </c>
      <c r="G44" s="7">
        <v>35.837600000000002</v>
      </c>
      <c r="H44">
        <f>(G44-G42)/G42</f>
        <v>6.5808506514846831E-3</v>
      </c>
      <c r="I44" s="7">
        <v>140140614</v>
      </c>
      <c r="J44">
        <f>(I44-I42)/I42</f>
        <v>1.1835090201988301E-2</v>
      </c>
      <c r="K44" s="7">
        <v>0.252079</v>
      </c>
      <c r="L44" s="7">
        <f>(K44-K43)/K43</f>
        <v>-7.6108629212246143E-4</v>
      </c>
      <c r="M44" s="7">
        <v>2.81029E-3</v>
      </c>
      <c r="N44">
        <f>(M44-M42)/M42</f>
        <v>-6.7918355735720529E-4</v>
      </c>
    </row>
    <row r="45" spans="1:14" x14ac:dyDescent="0.2">
      <c r="A45" t="s">
        <v>23</v>
      </c>
      <c r="B45" t="s">
        <v>22</v>
      </c>
      <c r="C45" t="s">
        <v>18</v>
      </c>
      <c r="D45" s="7">
        <v>89.78</v>
      </c>
      <c r="E45" s="7">
        <v>73048191</v>
      </c>
      <c r="F45">
        <f>(E45-E42)/E42</f>
        <v>0.11767846817982403</v>
      </c>
      <c r="G45" s="7">
        <v>35.901299999999999</v>
      </c>
      <c r="H45">
        <f t="shared" si="1"/>
        <v>8.3700106450807048E-3</v>
      </c>
      <c r="I45" s="7">
        <v>140833485</v>
      </c>
      <c r="J45">
        <f>(I45-I42)/I42</f>
        <v>1.6837716997838804E-2</v>
      </c>
      <c r="K45" s="7">
        <v>0.25276500000000002</v>
      </c>
      <c r="L45" s="7">
        <f>(K45-K43)/K43</f>
        <v>1.9582116057731344E-3</v>
      </c>
      <c r="M45" s="7">
        <v>2.8081E-3</v>
      </c>
      <c r="N45">
        <f>(M45-M42)/M42</f>
        <v>-1.4579332906620927E-3</v>
      </c>
    </row>
    <row r="46" spans="1:14" x14ac:dyDescent="0.2">
      <c r="A46" t="s">
        <v>23</v>
      </c>
      <c r="B46" s="10" t="s">
        <v>22</v>
      </c>
      <c r="C46" t="s">
        <v>25</v>
      </c>
      <c r="D46" s="7">
        <v>68.930000000000007</v>
      </c>
      <c r="E46" s="7">
        <v>75953232</v>
      </c>
      <c r="F46">
        <f>(E46-E42)/E42</f>
        <v>0.16212723180327343</v>
      </c>
      <c r="G46" s="7">
        <v>36.237299999999998</v>
      </c>
      <c r="H46">
        <f>(G46-G42)/G42</f>
        <v>1.7807338083829317E-2</v>
      </c>
      <c r="I46" s="7"/>
      <c r="K46" s="7">
        <v>0.24276500000000001</v>
      </c>
      <c r="L46" s="7">
        <f>(K46-K42)/K42</f>
        <v>-3.7681699442266507E-2</v>
      </c>
      <c r="M46" s="7">
        <v>2.8081E-3</v>
      </c>
      <c r="N46">
        <f>(M46-M42)/M42</f>
        <v>-1.4579332906620927E-3</v>
      </c>
    </row>
    <row r="47" spans="1:14" x14ac:dyDescent="0.2">
      <c r="A47" t="s">
        <v>19</v>
      </c>
      <c r="B47" t="s">
        <v>14</v>
      </c>
      <c r="C47" t="s">
        <v>15</v>
      </c>
      <c r="D47" s="6">
        <v>38.71</v>
      </c>
      <c r="E47" s="7">
        <v>103756068</v>
      </c>
      <c r="F47">
        <v>0</v>
      </c>
      <c r="G47" s="8">
        <v>48.767299999999999</v>
      </c>
      <c r="H47">
        <v>0</v>
      </c>
      <c r="I47" s="8">
        <v>103991777</v>
      </c>
      <c r="J47">
        <v>0</v>
      </c>
      <c r="K47" s="7">
        <v>0.171399</v>
      </c>
      <c r="L47" s="7">
        <v>0</v>
      </c>
      <c r="M47" s="7">
        <v>9.6441300000000008E-3</v>
      </c>
      <c r="N47">
        <v>0</v>
      </c>
    </row>
    <row r="48" spans="1:14" x14ac:dyDescent="0.2">
      <c r="A48" t="s">
        <v>19</v>
      </c>
      <c r="B48" t="s">
        <v>14</v>
      </c>
      <c r="C48" t="s">
        <v>16</v>
      </c>
      <c r="D48" s="7">
        <v>49.29</v>
      </c>
      <c r="E48" s="7">
        <v>130968469</v>
      </c>
      <c r="F48">
        <f>(E48-E47)/E47</f>
        <v>0.26227286292306295</v>
      </c>
      <c r="G48" s="7">
        <v>49.334000000000003</v>
      </c>
      <c r="H48">
        <f>(G48-G47)/G47</f>
        <v>1.1620491599904125E-2</v>
      </c>
      <c r="I48" s="7">
        <v>107474057</v>
      </c>
      <c r="J48">
        <f>(I48-I47)/I47</f>
        <v>3.3486109194960673E-2</v>
      </c>
      <c r="K48" s="7">
        <v>0.169819</v>
      </c>
      <c r="L48" s="7">
        <f>(K48-K47)/K47</f>
        <v>-9.2182568159674093E-3</v>
      </c>
      <c r="M48" s="7">
        <v>1.01881E-2</v>
      </c>
      <c r="N48">
        <f>(M48-M47)/M47</f>
        <v>5.6404258341602558E-2</v>
      </c>
    </row>
    <row r="49" spans="1:14" x14ac:dyDescent="0.2">
      <c r="A49" t="s">
        <v>19</v>
      </c>
      <c r="B49" t="s">
        <v>14</v>
      </c>
      <c r="C49" t="s">
        <v>17</v>
      </c>
      <c r="D49" s="7">
        <v>57.53</v>
      </c>
      <c r="E49" s="7">
        <v>141590132</v>
      </c>
      <c r="F49">
        <f>(E49-E47)/E47</f>
        <v>0.36464435024658026</v>
      </c>
      <c r="G49" s="7">
        <v>49.082900000000002</v>
      </c>
      <c r="H49">
        <f>(G49-G47)/G47</f>
        <v>6.4715495834299511E-3</v>
      </c>
      <c r="I49" s="7">
        <v>110397498</v>
      </c>
      <c r="J49">
        <f>(I49-I47)/I47</f>
        <v>6.1598341568872318E-2</v>
      </c>
      <c r="K49" s="7">
        <v>0.17358699999999999</v>
      </c>
      <c r="L49" s="7">
        <f>(K49-K47)/K47</f>
        <v>1.276553538818777E-2</v>
      </c>
      <c r="M49" s="7">
        <v>1.0131899999999999E-2</v>
      </c>
      <c r="N49">
        <f>(M49-M47)/M47</f>
        <v>5.0576879407473609E-2</v>
      </c>
    </row>
    <row r="50" spans="1:14" x14ac:dyDescent="0.2">
      <c r="A50" t="s">
        <v>19</v>
      </c>
      <c r="B50" t="s">
        <v>14</v>
      </c>
      <c r="C50" t="s">
        <v>18</v>
      </c>
      <c r="D50" s="7">
        <v>68.75</v>
      </c>
      <c r="E50" s="7">
        <v>156625195</v>
      </c>
      <c r="F50">
        <f>(E50-E47)/E47</f>
        <v>0.50955214494057355</v>
      </c>
      <c r="G50" s="7">
        <v>47.644199999999998</v>
      </c>
      <c r="H50">
        <f>(G50-G47)/G47</f>
        <v>-2.3029776099968646E-2</v>
      </c>
      <c r="I50" s="7">
        <v>115046958</v>
      </c>
      <c r="J50">
        <f>(I50-I47)/I47</f>
        <v>0.10630822281265566</v>
      </c>
      <c r="K50" s="7">
        <v>0.18548899999999999</v>
      </c>
      <c r="L50" s="7">
        <f>(K50-K47)/K47</f>
        <v>8.2205847175304353E-2</v>
      </c>
      <c r="M50" s="7">
        <v>9.8215799999999999E-3</v>
      </c>
      <c r="N50">
        <f>(M50-M47)/M47</f>
        <v>1.83997934494868E-2</v>
      </c>
    </row>
    <row r="51" spans="1:14" x14ac:dyDescent="0.2">
      <c r="A51" t="s">
        <v>19</v>
      </c>
      <c r="B51" t="s">
        <v>14</v>
      </c>
      <c r="C51" t="s">
        <v>25</v>
      </c>
      <c r="D51" s="7">
        <v>38.71</v>
      </c>
      <c r="E51" s="7">
        <v>157622145</v>
      </c>
      <c r="F51">
        <f>(E51-E47)/E47</f>
        <v>0.51916073959163522</v>
      </c>
      <c r="G51" s="7">
        <v>52.5717</v>
      </c>
      <c r="H51">
        <f>(G51-G47)/G47</f>
        <v>7.8011290352346788E-2</v>
      </c>
      <c r="I51" s="7"/>
      <c r="K51" s="7">
        <v>0.18548899999999999</v>
      </c>
      <c r="L51" s="7">
        <f>(K51-K47)/K47</f>
        <v>8.2205847175304353E-2</v>
      </c>
      <c r="M51" s="7">
        <v>9.6314699999999996E-3</v>
      </c>
      <c r="N51" s="7">
        <f>(M51-M47)/M47</f>
        <v>-1.3127156104284308E-3</v>
      </c>
    </row>
    <row r="52" spans="1:14" x14ac:dyDescent="0.2">
      <c r="A52" t="s">
        <v>19</v>
      </c>
      <c r="B52" t="s">
        <v>21</v>
      </c>
      <c r="C52" t="s">
        <v>15</v>
      </c>
      <c r="D52" s="7">
        <v>49.74</v>
      </c>
      <c r="E52" s="7">
        <v>173225109</v>
      </c>
      <c r="F52">
        <v>0</v>
      </c>
      <c r="G52" s="8">
        <v>50.358400000000003</v>
      </c>
      <c r="H52">
        <v>0</v>
      </c>
      <c r="I52" s="8">
        <v>145722368</v>
      </c>
      <c r="J52">
        <v>0</v>
      </c>
      <c r="K52" s="7">
        <v>0.102391</v>
      </c>
      <c r="L52" s="7">
        <v>0</v>
      </c>
      <c r="M52" s="7">
        <v>7.4879899999999999E-3</v>
      </c>
      <c r="N52">
        <v>0</v>
      </c>
    </row>
    <row r="53" spans="1:14" x14ac:dyDescent="0.2">
      <c r="A53" t="s">
        <v>19</v>
      </c>
      <c r="B53" t="s">
        <v>21</v>
      </c>
      <c r="C53" t="s">
        <v>16</v>
      </c>
      <c r="D53" s="7">
        <v>54.91</v>
      </c>
      <c r="E53" s="7">
        <v>185246806</v>
      </c>
      <c r="F53">
        <f>(E53-E52)/E52</f>
        <v>6.9399275136262151E-2</v>
      </c>
      <c r="G53" s="7">
        <v>50.820099999999996</v>
      </c>
      <c r="H53">
        <f>(G53-G52)/G52</f>
        <v>9.1682817563702047E-3</v>
      </c>
      <c r="I53" s="7">
        <v>148753027</v>
      </c>
      <c r="J53">
        <f>(I53-I52)/I52</f>
        <v>2.0797486628820087E-2</v>
      </c>
      <c r="K53" s="7">
        <v>0.10184699999999999</v>
      </c>
      <c r="L53" s="7">
        <f>(K53-K52)/K52</f>
        <v>-5.3129669599867452E-3</v>
      </c>
      <c r="M53" s="7">
        <v>7.8724799999999994E-3</v>
      </c>
      <c r="N53">
        <f>(M53-M52)/M52</f>
        <v>5.134755788936677E-2</v>
      </c>
    </row>
    <row r="54" spans="1:14" x14ac:dyDescent="0.2">
      <c r="A54" t="s">
        <v>19</v>
      </c>
      <c r="B54" t="s">
        <v>21</v>
      </c>
      <c r="C54" t="s">
        <v>17</v>
      </c>
      <c r="D54" s="7">
        <v>63.27</v>
      </c>
      <c r="E54" s="7">
        <v>199264241</v>
      </c>
      <c r="F54">
        <f>(E54-E52)/E52</f>
        <v>0.15031961677103059</v>
      </c>
      <c r="G54" s="7">
        <v>50.957500000000003</v>
      </c>
      <c r="H54">
        <f>(G54-G52)/G52</f>
        <v>1.189672428035839E-2</v>
      </c>
      <c r="I54" s="7">
        <v>151032501</v>
      </c>
      <c r="J54">
        <f>(I54-I52)/I52</f>
        <v>3.6440068006580846E-2</v>
      </c>
      <c r="K54" s="7">
        <v>0.10216799999999999</v>
      </c>
      <c r="L54" s="7">
        <f>(K54-K52)/K52</f>
        <v>-2.1779257942592706E-3</v>
      </c>
      <c r="M54" s="7">
        <v>8.1452599999999997E-3</v>
      </c>
      <c r="N54">
        <f>(M54-M52)/M52</f>
        <v>8.7776559530661727E-2</v>
      </c>
    </row>
    <row r="55" spans="1:14" x14ac:dyDescent="0.2">
      <c r="A55" t="s">
        <v>19</v>
      </c>
      <c r="B55" t="s">
        <v>21</v>
      </c>
      <c r="C55" t="s">
        <v>18</v>
      </c>
      <c r="D55" s="7">
        <v>73.62</v>
      </c>
      <c r="E55" s="7">
        <v>211374497</v>
      </c>
      <c r="F55">
        <f>(E55-E52)/E52</f>
        <v>0.22023012841631406</v>
      </c>
      <c r="G55" s="7">
        <v>50.543300000000002</v>
      </c>
      <c r="H55">
        <f>(G55-G52)/G52</f>
        <v>3.6716813878121413E-3</v>
      </c>
      <c r="I55" s="7">
        <v>153839825</v>
      </c>
      <c r="J55">
        <f>(I55-I52)/I52</f>
        <v>5.570494846748579E-2</v>
      </c>
      <c r="K55" s="7">
        <v>0.10410700000000001</v>
      </c>
      <c r="L55" s="7">
        <f>(K55-K52)/K52</f>
        <v>1.6759285484075841E-2</v>
      </c>
      <c r="M55" s="7">
        <v>8.2823500000000008E-3</v>
      </c>
      <c r="N55">
        <f>(M55-M52)/M52</f>
        <v>0.10608454338213605</v>
      </c>
    </row>
    <row r="56" spans="1:14" x14ac:dyDescent="0.2">
      <c r="A56" t="s">
        <v>19</v>
      </c>
      <c r="B56" t="s">
        <v>21</v>
      </c>
      <c r="C56" t="s">
        <v>25</v>
      </c>
      <c r="D56" s="7">
        <v>56.13</v>
      </c>
      <c r="E56" s="7">
        <v>233354689</v>
      </c>
      <c r="F56">
        <f>(E56-E52)/E52</f>
        <v>0.34711815363903165</v>
      </c>
      <c r="G56" s="7">
        <v>51.282200000000003</v>
      </c>
      <c r="H56">
        <f>(G56-G52)/G52</f>
        <v>1.8344506576857086E-2</v>
      </c>
      <c r="I56" s="7"/>
      <c r="K56" s="7">
        <v>0.104908</v>
      </c>
      <c r="L56" s="7">
        <f>(K56-K52)/K52</f>
        <v>2.458223867332095E-2</v>
      </c>
      <c r="M56" s="7">
        <v>8.2997499999999998E-3</v>
      </c>
      <c r="N56">
        <f>(M56-M52)/M52</f>
        <v>0.10840826443411382</v>
      </c>
    </row>
    <row r="57" spans="1:14" x14ac:dyDescent="0.2">
      <c r="A57" t="s">
        <v>19</v>
      </c>
      <c r="B57" t="s">
        <v>22</v>
      </c>
      <c r="C57" t="s">
        <v>15</v>
      </c>
      <c r="D57" s="7">
        <v>99.6</v>
      </c>
      <c r="E57" s="7">
        <v>403622797</v>
      </c>
      <c r="F57">
        <v>0</v>
      </c>
      <c r="G57" s="8">
        <v>58.5717</v>
      </c>
      <c r="H57">
        <v>0</v>
      </c>
      <c r="I57" s="8">
        <v>594188947</v>
      </c>
      <c r="J57">
        <v>0</v>
      </c>
      <c r="K57" s="7">
        <v>2.4401800000000001E-2</v>
      </c>
      <c r="L57" s="7">
        <v>0</v>
      </c>
      <c r="M57" s="7">
        <v>1.11421E-4</v>
      </c>
      <c r="N57">
        <v>0</v>
      </c>
    </row>
    <row r="58" spans="1:14" x14ac:dyDescent="0.2">
      <c r="A58" t="s">
        <v>19</v>
      </c>
      <c r="B58" t="s">
        <v>22</v>
      </c>
      <c r="C58" t="s">
        <v>16</v>
      </c>
      <c r="D58" s="7">
        <v>99.61</v>
      </c>
      <c r="E58" s="7">
        <v>403603047</v>
      </c>
      <c r="F58">
        <f>(E58-E57)/E57</f>
        <v>-4.8931824829507832E-5</v>
      </c>
      <c r="G58" s="7">
        <v>58.5717</v>
      </c>
      <c r="H58">
        <f>(G58-G57)/G57</f>
        <v>0</v>
      </c>
      <c r="I58" s="7">
        <v>594195798</v>
      </c>
      <c r="J58">
        <f>(I58-I57)/I57</f>
        <v>1.153000242530597E-5</v>
      </c>
      <c r="K58" s="7">
        <v>2.4401800000000001E-2</v>
      </c>
      <c r="L58" s="7">
        <f>(K58-K57)/K57</f>
        <v>0</v>
      </c>
      <c r="M58" s="7">
        <v>1.11421E-4</v>
      </c>
      <c r="N58">
        <f t="shared" si="4"/>
        <v>0</v>
      </c>
    </row>
    <row r="59" spans="1:14" x14ac:dyDescent="0.2">
      <c r="A59" t="s">
        <v>19</v>
      </c>
      <c r="B59" t="s">
        <v>22</v>
      </c>
      <c r="C59" t="s">
        <v>17</v>
      </c>
      <c r="D59" s="7">
        <v>99.61</v>
      </c>
      <c r="E59" s="7">
        <v>403642184</v>
      </c>
      <c r="F59">
        <f>(E59-E57)/E57</f>
        <v>4.8032470276945231E-5</v>
      </c>
      <c r="G59" s="7">
        <v>58.571899999999999</v>
      </c>
      <c r="H59">
        <f>(G59-G57)/G57</f>
        <v>3.4146183224924985E-6</v>
      </c>
      <c r="I59" s="7">
        <v>594195920</v>
      </c>
      <c r="J59">
        <f>(I59-I57)/I57</f>
        <v>1.1735324319319591E-5</v>
      </c>
      <c r="K59" s="7">
        <v>2.43956E-2</v>
      </c>
      <c r="L59" s="7">
        <f>(K59-K57)/K57</f>
        <v>-2.5407961707748377E-4</v>
      </c>
      <c r="M59" s="7">
        <v>1.13247E-4</v>
      </c>
      <c r="N59">
        <f>(M59-M57)/M57</f>
        <v>1.6388293050681579E-2</v>
      </c>
    </row>
    <row r="60" spans="1:14" x14ac:dyDescent="0.2">
      <c r="A60" t="s">
        <v>19</v>
      </c>
      <c r="B60" t="s">
        <v>22</v>
      </c>
      <c r="C60" t="s">
        <v>18</v>
      </c>
      <c r="D60" s="7">
        <v>99.63</v>
      </c>
      <c r="E60" s="7">
        <v>403732898</v>
      </c>
      <c r="F60">
        <f t="shared" ref="F60" si="5">(E60-E57)/E57</f>
        <v>2.7278191623056417E-4</v>
      </c>
      <c r="G60" s="7">
        <v>58.572800000000001</v>
      </c>
      <c r="H60">
        <f>(G60-G57)/G57</f>
        <v>1.8780400773769399E-5</v>
      </c>
      <c r="I60" s="7">
        <v>594193159</v>
      </c>
      <c r="J60">
        <f>(I60-I57)/I57</f>
        <v>7.0886542425031005E-6</v>
      </c>
      <c r="K60" s="7">
        <v>2.43956E-2</v>
      </c>
      <c r="L60" s="7">
        <f>(K60-K57)/K57</f>
        <v>-2.5407961707748377E-4</v>
      </c>
      <c r="M60" s="7">
        <v>1.20553E-4</v>
      </c>
      <c r="N60">
        <f>(M60-M57)/M57</f>
        <v>8.1959415191032142E-2</v>
      </c>
    </row>
    <row r="61" spans="1:14" x14ac:dyDescent="0.2">
      <c r="A61" t="s">
        <v>19</v>
      </c>
      <c r="B61" t="s">
        <v>22</v>
      </c>
      <c r="C61" t="s">
        <v>25</v>
      </c>
      <c r="D61" s="7">
        <v>99.6</v>
      </c>
      <c r="E61" s="7">
        <v>415621036</v>
      </c>
      <c r="F61">
        <f>(E61-E57)/E57</f>
        <v>2.9726366025851606E-2</v>
      </c>
      <c r="G61" s="7">
        <v>58.682699999999997</v>
      </c>
      <c r="H61">
        <f>(G61-G57)/G57</f>
        <v>1.895113168987704E-3</v>
      </c>
      <c r="K61" s="7">
        <v>2.39825E-2</v>
      </c>
      <c r="L61">
        <f>(K61-K57)/K57</f>
        <v>-1.7183158619446144E-2</v>
      </c>
      <c r="M61" s="7">
        <v>1.22442E-4</v>
      </c>
      <c r="N61">
        <f>(M61-M57)/M57</f>
        <v>9.8913131276868821E-2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fc57875</dc:creator>
  <cp:lastModifiedBy>fc57875</cp:lastModifiedBy>
  <dcterms:created xsi:type="dcterms:W3CDTF">2024-12-13T01:34:32Z</dcterms:created>
  <dcterms:modified xsi:type="dcterms:W3CDTF">2025-03-24T02:40:08Z</dcterms:modified>
</cp:coreProperties>
</file>