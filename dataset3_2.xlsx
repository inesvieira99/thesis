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vieira/Desktop/projeto/"/>
    </mc:Choice>
  </mc:AlternateContent>
  <xr:revisionPtr revIDLastSave="0" documentId="8_{AFFE53AA-A8BA-F447-B217-8887AFEF6706}" xr6:coauthVersionLast="47" xr6:coauthVersionMax="47" xr10:uidLastSave="{00000000-0000-0000-0000-000000000000}"/>
  <bookViews>
    <workbookView xWindow="0" yWindow="500" windowWidth="25680" windowHeight="16460" xr2:uid="{5107CFFB-A52A-0F4A-85D3-B14CF55EEFF6}"/>
  </bookViews>
  <sheets>
    <sheet name="Fo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1" l="1"/>
  <c r="O198" i="1"/>
  <c r="O178" i="1"/>
  <c r="O167" i="1"/>
  <c r="O166" i="1"/>
  <c r="O148" i="1"/>
  <c r="O116" i="1"/>
  <c r="O98" i="1"/>
  <c r="O67" i="1"/>
  <c r="O66" i="1"/>
  <c r="O48" i="1"/>
  <c r="O17" i="1"/>
  <c r="O201" i="1"/>
  <c r="O200" i="1"/>
  <c r="O199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7" i="1"/>
  <c r="O176" i="1"/>
  <c r="O175" i="1"/>
  <c r="O174" i="1"/>
  <c r="O173" i="1"/>
  <c r="O172" i="1"/>
  <c r="O171" i="1"/>
  <c r="O170" i="1"/>
  <c r="O169" i="1"/>
  <c r="O168" i="1"/>
  <c r="O165" i="1"/>
  <c r="O164" i="1"/>
  <c r="O163" i="1"/>
  <c r="O162" i="1"/>
  <c r="O151" i="1"/>
  <c r="O150" i="1"/>
  <c r="O149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5" i="1"/>
  <c r="O114" i="1"/>
  <c r="O113" i="1"/>
  <c r="O112" i="1"/>
  <c r="O101" i="1"/>
  <c r="O100" i="1"/>
  <c r="O99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5" i="1"/>
  <c r="O64" i="1"/>
  <c r="O63" i="1"/>
  <c r="O62" i="1"/>
  <c r="O51" i="1"/>
  <c r="O50" i="1"/>
  <c r="O49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6" i="1"/>
  <c r="O15" i="1"/>
  <c r="O14" i="1"/>
  <c r="O13" i="1"/>
  <c r="O12" i="1"/>
  <c r="M198" i="1"/>
  <c r="M167" i="1"/>
  <c r="M148" i="1"/>
  <c r="M119" i="1"/>
  <c r="M117" i="1"/>
  <c r="M98" i="1"/>
  <c r="M68" i="1"/>
  <c r="M67" i="1"/>
  <c r="M48" i="1"/>
  <c r="M47" i="1"/>
  <c r="M17" i="1"/>
  <c r="M201" i="1"/>
  <c r="M200" i="1"/>
  <c r="M199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6" i="1"/>
  <c r="M165" i="1"/>
  <c r="M164" i="1"/>
  <c r="M163" i="1"/>
  <c r="M162" i="1"/>
  <c r="M151" i="1"/>
  <c r="M150" i="1"/>
  <c r="M149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8" i="1"/>
  <c r="M116" i="1"/>
  <c r="M115" i="1"/>
  <c r="M114" i="1"/>
  <c r="M113" i="1"/>
  <c r="M112" i="1"/>
  <c r="M101" i="1"/>
  <c r="M100" i="1"/>
  <c r="M99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6" i="1"/>
  <c r="M65" i="1"/>
  <c r="M64" i="1"/>
  <c r="M63" i="1"/>
  <c r="M62" i="1"/>
  <c r="M51" i="1"/>
  <c r="M50" i="1"/>
  <c r="M49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6" i="1"/>
  <c r="M15" i="1"/>
  <c r="M14" i="1"/>
  <c r="M13" i="1"/>
  <c r="M12" i="1"/>
  <c r="K198" i="1"/>
  <c r="K166" i="1"/>
  <c r="K148" i="1"/>
  <c r="K116" i="1"/>
  <c r="K98" i="1"/>
  <c r="K68" i="1"/>
  <c r="K67" i="1"/>
  <c r="K66" i="1"/>
  <c r="K48" i="1"/>
  <c r="K17" i="1"/>
  <c r="K13" i="1"/>
  <c r="K201" i="1"/>
  <c r="K200" i="1"/>
  <c r="K199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5" i="1"/>
  <c r="K164" i="1"/>
  <c r="K163" i="1"/>
  <c r="K162" i="1"/>
  <c r="K151" i="1"/>
  <c r="K150" i="1"/>
  <c r="K149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5" i="1"/>
  <c r="K114" i="1"/>
  <c r="K113" i="1"/>
  <c r="K112" i="1"/>
  <c r="K101" i="1"/>
  <c r="K100" i="1"/>
  <c r="K99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5" i="1"/>
  <c r="K64" i="1"/>
  <c r="K63" i="1"/>
  <c r="K62" i="1"/>
  <c r="K51" i="1"/>
  <c r="K50" i="1"/>
  <c r="K49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6" i="1"/>
  <c r="K15" i="1"/>
  <c r="K14" i="1"/>
  <c r="K12" i="1"/>
  <c r="I198" i="1"/>
  <c r="I170" i="1"/>
  <c r="I169" i="1"/>
  <c r="I148" i="1"/>
  <c r="I119" i="1"/>
  <c r="I116" i="1"/>
  <c r="I117" i="1"/>
  <c r="I98" i="1"/>
  <c r="I67" i="1"/>
  <c r="I48" i="1"/>
  <c r="I47" i="1"/>
  <c r="I17" i="1"/>
  <c r="I12" i="1"/>
  <c r="I201" i="1"/>
  <c r="I200" i="1"/>
  <c r="I199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68" i="1"/>
  <c r="I167" i="1"/>
  <c r="I166" i="1"/>
  <c r="I165" i="1"/>
  <c r="I164" i="1"/>
  <c r="I163" i="1"/>
  <c r="I162" i="1"/>
  <c r="I151" i="1"/>
  <c r="I150" i="1"/>
  <c r="I149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8" i="1"/>
  <c r="I115" i="1"/>
  <c r="I114" i="1"/>
  <c r="I113" i="1"/>
  <c r="I112" i="1"/>
  <c r="I101" i="1"/>
  <c r="I100" i="1"/>
  <c r="I99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6" i="1"/>
  <c r="I65" i="1"/>
  <c r="I64" i="1"/>
  <c r="I63" i="1"/>
  <c r="I62" i="1"/>
  <c r="I51" i="1"/>
  <c r="I50" i="1"/>
  <c r="I49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6" i="1"/>
  <c r="I15" i="1"/>
  <c r="I14" i="1"/>
  <c r="I13" i="1"/>
  <c r="E191" i="1"/>
  <c r="E201" i="1"/>
  <c r="E200" i="1"/>
  <c r="E199" i="1"/>
  <c r="E198" i="1"/>
  <c r="E197" i="1"/>
  <c r="E196" i="1"/>
  <c r="E195" i="1"/>
  <c r="E194" i="1"/>
  <c r="E193" i="1"/>
  <c r="E192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01" i="1"/>
  <c r="E100" i="1"/>
  <c r="E99" i="1"/>
  <c r="E98" i="1"/>
  <c r="E97" i="1"/>
  <c r="E96" i="1"/>
  <c r="E95" i="1"/>
  <c r="E94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22" i="1"/>
  <c r="E30" i="1"/>
  <c r="E29" i="1"/>
  <c r="E28" i="1"/>
  <c r="E27" i="1"/>
  <c r="E26" i="1"/>
  <c r="E25" i="1"/>
  <c r="E24" i="1"/>
  <c r="E23" i="1"/>
  <c r="E21" i="1"/>
  <c r="E20" i="1"/>
  <c r="E19" i="1"/>
  <c r="E18" i="1"/>
  <c r="E17" i="1"/>
  <c r="E16" i="1"/>
  <c r="E15" i="1"/>
  <c r="E14" i="1"/>
  <c r="E13" i="1"/>
  <c r="E12" i="1"/>
  <c r="G1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12" i="1"/>
  <c r="G120" i="1"/>
  <c r="G121" i="1"/>
  <c r="G119" i="1"/>
  <c r="G118" i="1"/>
  <c r="G117" i="1"/>
  <c r="G116" i="1"/>
  <c r="G115" i="1"/>
  <c r="G114" i="1"/>
  <c r="G113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41" i="1"/>
  <c r="G80" i="1"/>
  <c r="G81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51" i="1"/>
  <c r="G50" i="1"/>
  <c r="G49" i="1"/>
  <c r="G48" i="1"/>
  <c r="G47" i="1"/>
  <c r="G46" i="1"/>
  <c r="G45" i="1"/>
  <c r="G44" i="1"/>
  <c r="G43" i="1"/>
  <c r="G42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Q152" i="1"/>
  <c r="P152" i="1"/>
  <c r="Q102" i="1"/>
  <c r="Q52" i="1"/>
</calcChain>
</file>

<file path=xl/sharedStrings.xml><?xml version="1.0" encoding="utf-8"?>
<sst xmlns="http://schemas.openxmlformats.org/spreadsheetml/2006/main" count="469" uniqueCount="65">
  <si>
    <t>sample</t>
  </si>
  <si>
    <t>treatment</t>
  </si>
  <si>
    <t>primary_mapped</t>
  </si>
  <si>
    <t>reads_above20</t>
  </si>
  <si>
    <t>reads_diff</t>
  </si>
  <si>
    <t>k19</t>
  </si>
  <si>
    <t>k17</t>
  </si>
  <si>
    <t>k15</t>
  </si>
  <si>
    <t>k13</t>
  </si>
  <si>
    <t>reref</t>
  </si>
  <si>
    <t>0_0025</t>
  </si>
  <si>
    <t>0_00025</t>
  </si>
  <si>
    <t>5_0025</t>
  </si>
  <si>
    <t>5_00025</t>
  </si>
  <si>
    <t>depth</t>
  </si>
  <si>
    <t>depth_calc</t>
  </si>
  <si>
    <t>missingness_CDS</t>
  </si>
  <si>
    <t>missing_CDS</t>
  </si>
  <si>
    <t>missingness_gene</t>
  </si>
  <si>
    <t>missing_gene</t>
  </si>
  <si>
    <t xml:space="preserve">heterozigotia_CDS </t>
  </si>
  <si>
    <t>heteroz_CDS</t>
  </si>
  <si>
    <t>heterozigotia_gene</t>
  </si>
  <si>
    <t>heteroz_gene</t>
  </si>
  <si>
    <t>power_het</t>
  </si>
  <si>
    <t>FDR_het</t>
  </si>
  <si>
    <t>power_homo</t>
  </si>
  <si>
    <t>FDR_homo</t>
  </si>
  <si>
    <t>0.00222</t>
  </si>
  <si>
    <t>0.0010</t>
  </si>
  <si>
    <t>0.86933</t>
  </si>
  <si>
    <t>0.00213</t>
  </si>
  <si>
    <t>0.86931</t>
  </si>
  <si>
    <t>0.86929</t>
  </si>
  <si>
    <t>0.86928</t>
  </si>
  <si>
    <t>0.004235</t>
  </si>
  <si>
    <t>0.89452</t>
  </si>
  <si>
    <t>0.88246</t>
  </si>
  <si>
    <t>0.00205</t>
  </si>
  <si>
    <t>0.88244</t>
  </si>
  <si>
    <t>0.88242</t>
  </si>
  <si>
    <t>0.88241</t>
  </si>
  <si>
    <t>0.052670</t>
  </si>
  <si>
    <t>0.90700</t>
  </si>
  <si>
    <t>0.00211</t>
  </si>
  <si>
    <t>0.82093</t>
  </si>
  <si>
    <t>0.04443</t>
  </si>
  <si>
    <t>0.82080</t>
  </si>
  <si>
    <t>0.82070</t>
  </si>
  <si>
    <t>0.04444</t>
  </si>
  <si>
    <t>0.82052</t>
  </si>
  <si>
    <t>0.868867</t>
  </si>
  <si>
    <t>0.025460</t>
  </si>
  <si>
    <t>0.87408</t>
  </si>
  <si>
    <t>0.04476</t>
  </si>
  <si>
    <t>0.83592</t>
  </si>
  <si>
    <t>0.04501</t>
  </si>
  <si>
    <t>0.83582</t>
  </si>
  <si>
    <t>0.04502</t>
  </si>
  <si>
    <t>0.83566</t>
  </si>
  <si>
    <t>0.83551</t>
  </si>
  <si>
    <t>0.899967</t>
  </si>
  <si>
    <t>0.022762</t>
  </si>
  <si>
    <t>0.88904</t>
  </si>
  <si>
    <t>0.04530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</si>
</sst>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1A94-0136-B048-A942-817F87ECD7C0}">
  <dimension ref="A1:S217"/>
  <sheetViews>
    <sheetView tabSelected="1" topLeftCell="A57" workbookViewId="0">
      <selection activeCell="E101" sqref="E101"/>
    </sheetView>
  </sheetViews>
  <sheetFormatPr baseColWidth="10" defaultRowHeight="16" x14ac:dyDescent="0.2"/>
  <cols>
    <col min="5" max="5" width="13.33203125" bestFit="1" customWidth="1"/>
    <col min="7" max="7" width="12.83203125" bestFit="1" customWidth="1"/>
    <col min="9" max="9" width="12.83203125" bestFit="1" customWidth="1"/>
    <col min="11" max="11" width="12.83203125" bestFit="1" customWidth="1"/>
    <col min="13" max="13" width="12.83203125" bestFit="1" customWidth="1"/>
    <col min="15" max="17" width="12.83203125" bestFit="1" customWidth="1"/>
    <col min="18" max="18" width="11.5" bestFit="1" customWidth="1"/>
    <col min="19" max="19" width="10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2">
      <c r="A2" t="s">
        <v>10</v>
      </c>
      <c r="B2" t="s">
        <v>5</v>
      </c>
      <c r="C2">
        <v>100</v>
      </c>
      <c r="D2">
        <v>4384250</v>
      </c>
      <c r="E2">
        <v>0</v>
      </c>
      <c r="F2" s="2">
        <v>15.350300000000001</v>
      </c>
      <c r="G2">
        <v>0</v>
      </c>
      <c r="H2" s="2">
        <v>6.68879E-2</v>
      </c>
      <c r="I2">
        <v>0</v>
      </c>
      <c r="J2" s="2">
        <v>5.8583900000000001E-2</v>
      </c>
      <c r="K2">
        <v>0</v>
      </c>
      <c r="L2" s="2">
        <v>4.7863100000000002E-3</v>
      </c>
      <c r="M2">
        <v>0</v>
      </c>
      <c r="N2" s="2">
        <v>4.7862E-3</v>
      </c>
      <c r="O2">
        <v>0</v>
      </c>
      <c r="P2" s="3">
        <v>0.83348599999999995</v>
      </c>
      <c r="Q2" s="3" t="s">
        <v>29</v>
      </c>
      <c r="R2" s="3" t="s">
        <v>30</v>
      </c>
      <c r="S2" s="3" t="s">
        <v>31</v>
      </c>
    </row>
    <row r="3" spans="1:19" x14ac:dyDescent="0.2">
      <c r="A3" t="s">
        <v>10</v>
      </c>
      <c r="B3" t="s">
        <v>5</v>
      </c>
      <c r="C3">
        <v>100</v>
      </c>
      <c r="D3" s="2">
        <v>4384530</v>
      </c>
      <c r="E3">
        <v>0</v>
      </c>
      <c r="F3" s="2">
        <v>15.3453</v>
      </c>
      <c r="G3">
        <v>0</v>
      </c>
      <c r="H3" s="2">
        <v>6.4848500000000003E-2</v>
      </c>
      <c r="I3">
        <v>0</v>
      </c>
      <c r="J3" s="2">
        <v>5.8180999999999997E-2</v>
      </c>
      <c r="K3">
        <v>0</v>
      </c>
      <c r="L3" s="2">
        <v>4.8341199999999999E-3</v>
      </c>
      <c r="M3">
        <v>0</v>
      </c>
      <c r="N3" s="2">
        <v>4.8122E-3</v>
      </c>
      <c r="O3">
        <v>0</v>
      </c>
      <c r="P3" s="3"/>
      <c r="Q3" s="3"/>
      <c r="R3" s="3"/>
      <c r="S3" s="3"/>
    </row>
    <row r="4" spans="1:19" x14ac:dyDescent="0.2">
      <c r="A4" t="s">
        <v>10</v>
      </c>
      <c r="B4" t="s">
        <v>5</v>
      </c>
      <c r="C4">
        <v>100</v>
      </c>
      <c r="D4" s="2">
        <v>4384130</v>
      </c>
      <c r="E4">
        <v>0</v>
      </c>
      <c r="F4" s="2">
        <v>15.3459</v>
      </c>
      <c r="G4">
        <v>0</v>
      </c>
      <c r="H4" s="2">
        <v>6.5639400000000001E-2</v>
      </c>
      <c r="I4">
        <v>0</v>
      </c>
      <c r="J4" s="2">
        <v>5.7656499999999999E-2</v>
      </c>
      <c r="K4">
        <v>0</v>
      </c>
      <c r="L4" s="2">
        <v>4.8019500000000001E-3</v>
      </c>
      <c r="M4">
        <v>0</v>
      </c>
      <c r="N4" s="2">
        <v>4.7823600000000003E-3</v>
      </c>
      <c r="O4">
        <v>0</v>
      </c>
      <c r="P4" s="3"/>
      <c r="Q4" s="3"/>
      <c r="R4" s="3"/>
      <c r="S4" s="3"/>
    </row>
    <row r="5" spans="1:19" x14ac:dyDescent="0.2">
      <c r="A5" t="s">
        <v>10</v>
      </c>
      <c r="B5" t="s">
        <v>5</v>
      </c>
      <c r="C5">
        <v>100</v>
      </c>
      <c r="D5" s="2">
        <v>4383481</v>
      </c>
      <c r="E5">
        <v>0</v>
      </c>
      <c r="F5" s="2">
        <v>15.3454</v>
      </c>
      <c r="G5">
        <v>0</v>
      </c>
      <c r="H5" s="2">
        <v>6.5337500000000007E-2</v>
      </c>
      <c r="I5">
        <v>0</v>
      </c>
      <c r="J5" s="2">
        <v>5.7670600000000002E-2</v>
      </c>
      <c r="K5">
        <v>0</v>
      </c>
      <c r="L5" s="2">
        <v>4.81746E-3</v>
      </c>
      <c r="M5">
        <v>0</v>
      </c>
      <c r="N5" s="2">
        <v>4.8143700000000001E-3</v>
      </c>
      <c r="O5">
        <v>0</v>
      </c>
      <c r="P5" s="3"/>
      <c r="Q5" s="3"/>
      <c r="R5" s="3"/>
      <c r="S5" s="3"/>
    </row>
    <row r="6" spans="1:19" x14ac:dyDescent="0.2">
      <c r="A6" t="s">
        <v>10</v>
      </c>
      <c r="B6" t="s">
        <v>5</v>
      </c>
      <c r="C6">
        <v>100</v>
      </c>
      <c r="D6" s="2">
        <v>4384698</v>
      </c>
      <c r="E6">
        <v>0</v>
      </c>
      <c r="F6" s="2">
        <v>15.3469</v>
      </c>
      <c r="G6">
        <v>0</v>
      </c>
      <c r="H6" s="2">
        <v>6.6650699999999993E-2</v>
      </c>
      <c r="I6">
        <v>0</v>
      </c>
      <c r="J6" s="2">
        <v>5.8417999999999998E-2</v>
      </c>
      <c r="K6">
        <v>0</v>
      </c>
      <c r="L6" s="2">
        <v>4.7982600000000004E-3</v>
      </c>
      <c r="M6">
        <v>0</v>
      </c>
      <c r="N6" s="2">
        <v>4.7759600000000001E-3</v>
      </c>
      <c r="O6">
        <v>0</v>
      </c>
      <c r="P6" s="3"/>
      <c r="Q6" s="3"/>
      <c r="R6" s="3"/>
      <c r="S6" s="3"/>
    </row>
    <row r="7" spans="1:19" x14ac:dyDescent="0.2">
      <c r="A7" t="s">
        <v>10</v>
      </c>
      <c r="B7" t="s">
        <v>5</v>
      </c>
      <c r="C7">
        <v>100</v>
      </c>
      <c r="D7" s="2">
        <v>4384796</v>
      </c>
      <c r="E7">
        <v>0</v>
      </c>
      <c r="F7" s="2">
        <v>15.348699999999999</v>
      </c>
      <c r="G7">
        <v>0</v>
      </c>
      <c r="H7" s="2">
        <v>6.7207299999999998E-2</v>
      </c>
      <c r="I7">
        <v>0</v>
      </c>
      <c r="J7" s="2">
        <v>5.8998299999999997E-2</v>
      </c>
      <c r="K7">
        <v>0</v>
      </c>
      <c r="L7" s="2">
        <v>4.8559600000000003E-3</v>
      </c>
      <c r="M7">
        <v>0</v>
      </c>
      <c r="N7" s="2">
        <v>4.7939599999999999E-3</v>
      </c>
      <c r="O7">
        <v>0</v>
      </c>
      <c r="P7" s="3"/>
      <c r="Q7" s="3"/>
      <c r="R7" s="3"/>
      <c r="S7" s="3"/>
    </row>
    <row r="8" spans="1:19" x14ac:dyDescent="0.2">
      <c r="A8" t="s">
        <v>10</v>
      </c>
      <c r="B8" t="s">
        <v>5</v>
      </c>
      <c r="C8">
        <v>100</v>
      </c>
      <c r="D8" s="2">
        <v>4384656</v>
      </c>
      <c r="E8">
        <v>0</v>
      </c>
      <c r="F8" s="2">
        <v>15.3476</v>
      </c>
      <c r="G8">
        <v>0</v>
      </c>
      <c r="H8" s="2">
        <v>6.6705200000000006E-2</v>
      </c>
      <c r="I8">
        <v>0</v>
      </c>
      <c r="J8" s="2">
        <v>5.9185799999999997E-2</v>
      </c>
      <c r="K8">
        <v>0</v>
      </c>
      <c r="L8" s="2">
        <v>4.7800400000000002E-3</v>
      </c>
      <c r="M8">
        <v>0</v>
      </c>
      <c r="N8" s="2">
        <v>4.8099600000000003E-3</v>
      </c>
      <c r="O8">
        <v>0</v>
      </c>
      <c r="P8" s="3"/>
      <c r="Q8" s="3"/>
      <c r="R8" s="3"/>
      <c r="S8" s="3"/>
    </row>
    <row r="9" spans="1:19" x14ac:dyDescent="0.2">
      <c r="A9" t="s">
        <v>10</v>
      </c>
      <c r="B9" t="s">
        <v>5</v>
      </c>
      <c r="C9">
        <v>100</v>
      </c>
      <c r="D9" s="2">
        <v>4381151</v>
      </c>
      <c r="E9">
        <v>0</v>
      </c>
      <c r="F9" s="2">
        <v>15.3385</v>
      </c>
      <c r="G9">
        <v>0</v>
      </c>
      <c r="H9" s="2">
        <v>6.6484299999999996E-2</v>
      </c>
      <c r="I9">
        <v>0</v>
      </c>
      <c r="J9" s="2">
        <v>5.8606400000000003E-2</v>
      </c>
      <c r="K9">
        <v>0</v>
      </c>
      <c r="L9" s="2">
        <v>4.8212400000000001E-3</v>
      </c>
      <c r="M9">
        <v>0</v>
      </c>
      <c r="N9" s="2">
        <v>4.8000600000000001E-3</v>
      </c>
      <c r="O9">
        <v>0</v>
      </c>
      <c r="P9" s="3"/>
      <c r="Q9" s="3"/>
      <c r="R9" s="3"/>
      <c r="S9" s="3"/>
    </row>
    <row r="10" spans="1:19" x14ac:dyDescent="0.2">
      <c r="A10" t="s">
        <v>10</v>
      </c>
      <c r="B10" t="s">
        <v>5</v>
      </c>
      <c r="C10">
        <v>100</v>
      </c>
      <c r="D10" s="2">
        <v>4385323</v>
      </c>
      <c r="E10">
        <v>0</v>
      </c>
      <c r="F10" s="2">
        <v>15.3474</v>
      </c>
      <c r="G10">
        <v>0</v>
      </c>
      <c r="H10" s="2">
        <v>6.6682900000000003E-2</v>
      </c>
      <c r="I10">
        <v>0</v>
      </c>
      <c r="J10" s="2">
        <v>5.8747399999999998E-2</v>
      </c>
      <c r="K10">
        <v>0</v>
      </c>
      <c r="L10" s="2">
        <v>4.83045E-3</v>
      </c>
      <c r="M10">
        <v>0</v>
      </c>
      <c r="N10" s="2">
        <v>4.8415699999999999E-3</v>
      </c>
      <c r="O10">
        <v>0</v>
      </c>
      <c r="P10" s="3"/>
      <c r="Q10" s="3"/>
      <c r="R10" s="3"/>
      <c r="S10" s="3"/>
    </row>
    <row r="11" spans="1:19" x14ac:dyDescent="0.2">
      <c r="A11" t="s">
        <v>10</v>
      </c>
      <c r="B11" t="s">
        <v>5</v>
      </c>
      <c r="C11">
        <v>100</v>
      </c>
      <c r="D11" s="2">
        <v>4383868</v>
      </c>
      <c r="E11">
        <v>0</v>
      </c>
      <c r="F11" s="2">
        <v>15.3438</v>
      </c>
      <c r="G11">
        <v>0</v>
      </c>
      <c r="H11" s="2">
        <v>6.6578600000000002E-2</v>
      </c>
      <c r="I11">
        <v>0</v>
      </c>
      <c r="J11" s="2">
        <v>5.8696400000000003E-2</v>
      </c>
      <c r="K11">
        <v>0</v>
      </c>
      <c r="L11" s="2">
        <v>4.8260000000000004E-3</v>
      </c>
      <c r="M11">
        <v>0</v>
      </c>
      <c r="N11" s="2">
        <v>4.7935800000000004E-3</v>
      </c>
      <c r="O11">
        <v>0</v>
      </c>
      <c r="P11" s="3"/>
      <c r="Q11" s="3"/>
      <c r="R11" s="3"/>
      <c r="S11" s="3"/>
    </row>
    <row r="12" spans="1:19" x14ac:dyDescent="0.2">
      <c r="A12" t="s">
        <v>10</v>
      </c>
      <c r="B12" t="s">
        <v>6</v>
      </c>
      <c r="C12">
        <v>100</v>
      </c>
      <c r="D12">
        <v>4384122</v>
      </c>
      <c r="E12">
        <f t="shared" ref="E12:E21" si="0">(D12-D2)/D2</f>
        <v>-2.9195415407424304E-5</v>
      </c>
      <c r="F12" s="2">
        <v>15.350300000000001</v>
      </c>
      <c r="G12">
        <f t="shared" ref="G12:G21" si="1">(F12-F2)/F2</f>
        <v>0</v>
      </c>
      <c r="H12" s="2">
        <v>6.6900100000000004E-2</v>
      </c>
      <c r="I12">
        <f t="shared" ref="I12:I21" si="2">(H12-H2)/H2</f>
        <v>1.823947231114129E-4</v>
      </c>
      <c r="J12" s="2">
        <v>5.85858E-2</v>
      </c>
      <c r="K12">
        <f t="shared" ref="K12:K21" si="3">(J12-J2)/J2</f>
        <v>3.243211872202302E-5</v>
      </c>
      <c r="L12" s="2">
        <v>4.7863699999999999E-3</v>
      </c>
      <c r="M12">
        <f t="shared" ref="M12:M21" si="4">(L12-L2)/L2</f>
        <v>1.2535753012162537E-5</v>
      </c>
      <c r="N12" s="2">
        <v>4.7862099999999999E-3</v>
      </c>
      <c r="O12">
        <f t="shared" ref="O12:O21" si="5">(N12-N2)/N2</f>
        <v>2.0893401863567363E-6</v>
      </c>
      <c r="P12" s="3">
        <v>0.83341200000000004</v>
      </c>
      <c r="Q12" s="3" t="s">
        <v>29</v>
      </c>
      <c r="R12" s="3" t="s">
        <v>32</v>
      </c>
      <c r="S12" s="3" t="s">
        <v>31</v>
      </c>
    </row>
    <row r="13" spans="1:19" x14ac:dyDescent="0.2">
      <c r="A13" t="s">
        <v>10</v>
      </c>
      <c r="B13" t="s">
        <v>6</v>
      </c>
      <c r="C13">
        <v>100</v>
      </c>
      <c r="D13" s="2">
        <v>4384408</v>
      </c>
      <c r="E13">
        <f t="shared" si="0"/>
        <v>-2.7825103260782797E-5</v>
      </c>
      <c r="F13" s="2">
        <v>15.3453</v>
      </c>
      <c r="G13">
        <f t="shared" si="1"/>
        <v>0</v>
      </c>
      <c r="H13" s="2">
        <v>6.48426E-2</v>
      </c>
      <c r="I13">
        <f t="shared" si="2"/>
        <v>-9.0981287153953056E-5</v>
      </c>
      <c r="J13" s="2">
        <v>5.8182499999999998E-2</v>
      </c>
      <c r="K13">
        <f t="shared" si="3"/>
        <v>2.5781612553952324E-5</v>
      </c>
      <c r="L13" s="2">
        <v>4.8340900000000001E-3</v>
      </c>
      <c r="M13">
        <f t="shared" si="4"/>
        <v>-6.2058864901619816E-6</v>
      </c>
      <c r="N13" s="2">
        <v>4.8122099999999999E-3</v>
      </c>
      <c r="O13">
        <f t="shared" si="5"/>
        <v>2.0780516187898698E-6</v>
      </c>
      <c r="P13" s="3"/>
      <c r="Q13" s="3"/>
      <c r="R13" s="3"/>
      <c r="S13" s="3"/>
    </row>
    <row r="14" spans="1:19" x14ac:dyDescent="0.2">
      <c r="A14" t="s">
        <v>10</v>
      </c>
      <c r="B14" t="s">
        <v>6</v>
      </c>
      <c r="C14">
        <v>100</v>
      </c>
      <c r="D14" s="2">
        <v>4384063</v>
      </c>
      <c r="E14">
        <f t="shared" si="0"/>
        <v>-1.5282393542162298E-5</v>
      </c>
      <c r="F14" s="2">
        <v>15.346</v>
      </c>
      <c r="G14">
        <f t="shared" si="1"/>
        <v>6.5163985168525108E-6</v>
      </c>
      <c r="H14" s="2">
        <v>6.5630400000000005E-2</v>
      </c>
      <c r="I14">
        <f t="shared" si="2"/>
        <v>-1.3711277068338717E-4</v>
      </c>
      <c r="J14" s="2">
        <v>5.7651599999999997E-2</v>
      </c>
      <c r="K14">
        <f t="shared" si="3"/>
        <v>-8.4986081361201687E-5</v>
      </c>
      <c r="L14" s="2">
        <v>4.8015499999999999E-3</v>
      </c>
      <c r="M14">
        <f t="shared" si="4"/>
        <v>-8.3299492914384063E-5</v>
      </c>
      <c r="N14" s="2">
        <v>4.7821900000000004E-3</v>
      </c>
      <c r="O14">
        <f t="shared" si="5"/>
        <v>-3.5547303005181076E-5</v>
      </c>
      <c r="P14" s="3"/>
      <c r="Q14" s="3"/>
      <c r="R14" s="3"/>
      <c r="S14" s="3"/>
    </row>
    <row r="15" spans="1:19" x14ac:dyDescent="0.2">
      <c r="A15" t="s">
        <v>10</v>
      </c>
      <c r="B15" t="s">
        <v>6</v>
      </c>
      <c r="C15">
        <v>100</v>
      </c>
      <c r="D15" s="2">
        <v>4383427</v>
      </c>
      <c r="E15">
        <f t="shared" si="0"/>
        <v>-1.2318976630673202E-5</v>
      </c>
      <c r="F15" s="2">
        <v>15.345599999999999</v>
      </c>
      <c r="G15">
        <f t="shared" si="1"/>
        <v>1.3033221682037216E-5</v>
      </c>
      <c r="H15" s="2">
        <v>6.5313200000000002E-2</v>
      </c>
      <c r="I15">
        <f t="shared" si="2"/>
        <v>-3.7191505643780176E-4</v>
      </c>
      <c r="J15" s="2">
        <v>5.7662199999999997E-2</v>
      </c>
      <c r="K15">
        <f t="shared" si="3"/>
        <v>-1.4565480504807692E-4</v>
      </c>
      <c r="L15" s="2">
        <v>4.8173299999999999E-3</v>
      </c>
      <c r="M15">
        <f t="shared" si="4"/>
        <v>-2.6985174760163097E-5</v>
      </c>
      <c r="N15" s="2">
        <v>4.8143200000000004E-3</v>
      </c>
      <c r="O15">
        <f t="shared" si="5"/>
        <v>-1.0385574851891952E-5</v>
      </c>
      <c r="P15" s="3"/>
      <c r="Q15" s="3"/>
      <c r="R15" s="3"/>
      <c r="S15" s="3"/>
    </row>
    <row r="16" spans="1:19" x14ac:dyDescent="0.2">
      <c r="A16" t="s">
        <v>10</v>
      </c>
      <c r="B16" t="s">
        <v>6</v>
      </c>
      <c r="C16">
        <v>100</v>
      </c>
      <c r="D16" s="2">
        <v>4384612</v>
      </c>
      <c r="E16">
        <f t="shared" si="0"/>
        <v>-1.9613665524968882E-5</v>
      </c>
      <c r="F16" s="2">
        <v>15.347099999999999</v>
      </c>
      <c r="G16">
        <f t="shared" si="1"/>
        <v>1.3031947820050557E-5</v>
      </c>
      <c r="H16" s="2">
        <v>6.6650000000000001E-2</v>
      </c>
      <c r="I16">
        <f t="shared" si="2"/>
        <v>-1.0502515352312481E-5</v>
      </c>
      <c r="J16" s="2">
        <v>5.8749000000000003E-2</v>
      </c>
      <c r="K16">
        <f t="shared" si="3"/>
        <v>5.6660618302578816E-3</v>
      </c>
      <c r="L16" s="2">
        <v>4.7975500000000003E-3</v>
      </c>
      <c r="M16">
        <f t="shared" si="4"/>
        <v>-1.479703059025814E-4</v>
      </c>
      <c r="N16" s="2">
        <v>4.8415799999999998E-3</v>
      </c>
      <c r="O16">
        <f t="shared" si="5"/>
        <v>1.373964606068722E-2</v>
      </c>
      <c r="P16" s="3"/>
      <c r="Q16" s="3"/>
      <c r="R16" s="3"/>
      <c r="S16" s="3"/>
    </row>
    <row r="17" spans="1:19" x14ac:dyDescent="0.2">
      <c r="A17" t="s">
        <v>10</v>
      </c>
      <c r="B17" t="s">
        <v>6</v>
      </c>
      <c r="C17">
        <v>100</v>
      </c>
      <c r="D17" s="2">
        <v>4384714</v>
      </c>
      <c r="E17">
        <f t="shared" si="0"/>
        <v>-1.8700984036657579E-5</v>
      </c>
      <c r="F17" s="2">
        <v>15.348699999999999</v>
      </c>
      <c r="G17">
        <f t="shared" si="1"/>
        <v>0</v>
      </c>
      <c r="H17" s="2">
        <v>6.7197300000000001E-2</v>
      </c>
      <c r="I17">
        <f t="shared" si="2"/>
        <v>-1.4879336024503474E-4</v>
      </c>
      <c r="J17" s="2">
        <v>5.89883E-2</v>
      </c>
      <c r="K17">
        <f t="shared" si="3"/>
        <v>-1.6949640921850499E-4</v>
      </c>
      <c r="L17" s="2">
        <v>4.8550099999999999E-3</v>
      </c>
      <c r="M17">
        <f t="shared" si="4"/>
        <v>-1.9563587838458918E-4</v>
      </c>
      <c r="N17" s="2">
        <v>4.7936999999999997E-3</v>
      </c>
      <c r="O17">
        <f t="shared" si="5"/>
        <v>-5.4234912264639389E-5</v>
      </c>
      <c r="P17" s="3"/>
      <c r="Q17" s="3"/>
      <c r="R17" s="3"/>
      <c r="S17" s="3"/>
    </row>
    <row r="18" spans="1:19" x14ac:dyDescent="0.2">
      <c r="A18" t="s">
        <v>10</v>
      </c>
      <c r="B18" t="s">
        <v>6</v>
      </c>
      <c r="C18">
        <v>100</v>
      </c>
      <c r="D18" s="2">
        <v>4384546</v>
      </c>
      <c r="E18">
        <f t="shared" si="0"/>
        <v>-2.5087486908893195E-5</v>
      </c>
      <c r="F18" s="2">
        <v>15.3476</v>
      </c>
      <c r="G18">
        <f t="shared" si="1"/>
        <v>0</v>
      </c>
      <c r="H18" s="2">
        <v>6.6708799999999999E-2</v>
      </c>
      <c r="I18">
        <f t="shared" si="2"/>
        <v>5.3968806030002124E-5</v>
      </c>
      <c r="J18" s="2">
        <v>5.9184300000000002E-2</v>
      </c>
      <c r="K18">
        <f t="shared" si="3"/>
        <v>-2.5343916952961038E-5</v>
      </c>
      <c r="L18" s="2">
        <v>4.7800500000000001E-3</v>
      </c>
      <c r="M18">
        <f t="shared" si="4"/>
        <v>2.0920327026427835E-6</v>
      </c>
      <c r="N18" s="2">
        <v>4.8099600000000003E-3</v>
      </c>
      <c r="O18">
        <f t="shared" si="5"/>
        <v>0</v>
      </c>
      <c r="P18" s="3"/>
      <c r="Q18" s="3"/>
      <c r="R18" s="3"/>
      <c r="S18" s="3"/>
    </row>
    <row r="19" spans="1:19" x14ac:dyDescent="0.2">
      <c r="A19" t="s">
        <v>10</v>
      </c>
      <c r="B19" t="s">
        <v>6</v>
      </c>
      <c r="C19">
        <v>100</v>
      </c>
      <c r="D19" s="2">
        <v>4381044</v>
      </c>
      <c r="E19">
        <f t="shared" si="0"/>
        <v>-2.4422805787794122E-5</v>
      </c>
      <c r="F19" s="2">
        <v>15.3385</v>
      </c>
      <c r="G19">
        <f t="shared" si="1"/>
        <v>0</v>
      </c>
      <c r="H19" s="2">
        <v>6.6496E-2</v>
      </c>
      <c r="I19">
        <f t="shared" si="2"/>
        <v>1.759813971118501E-4</v>
      </c>
      <c r="J19" s="2">
        <v>4.6046299999999998E-2</v>
      </c>
      <c r="K19">
        <f t="shared" si="3"/>
        <v>-0.2143127713014279</v>
      </c>
      <c r="L19" s="2">
        <v>4.8212999999999997E-3</v>
      </c>
      <c r="M19">
        <f t="shared" si="4"/>
        <v>1.2444931179456669E-5</v>
      </c>
      <c r="N19" s="2">
        <v>4.8608999999999996E-3</v>
      </c>
      <c r="O19">
        <f t="shared" si="5"/>
        <v>1.267484156448034E-2</v>
      </c>
      <c r="P19" s="3"/>
      <c r="Q19" s="3"/>
      <c r="R19" s="3"/>
      <c r="S19" s="3"/>
    </row>
    <row r="20" spans="1:19" x14ac:dyDescent="0.2">
      <c r="A20" t="s">
        <v>10</v>
      </c>
      <c r="B20" t="s">
        <v>6</v>
      </c>
      <c r="C20">
        <v>100</v>
      </c>
      <c r="D20" s="2">
        <v>4385171</v>
      </c>
      <c r="E20">
        <f t="shared" si="0"/>
        <v>-3.4661072855978912E-5</v>
      </c>
      <c r="F20" s="2">
        <v>15.3475</v>
      </c>
      <c r="G20">
        <f t="shared" si="1"/>
        <v>6.5157616273614385E-6</v>
      </c>
      <c r="H20" s="2">
        <v>6.6684199999999999E-2</v>
      </c>
      <c r="I20">
        <f t="shared" si="2"/>
        <v>1.9495252905853658E-5</v>
      </c>
      <c r="J20" s="2">
        <v>5.8610000000000002E-2</v>
      </c>
      <c r="K20">
        <f t="shared" si="3"/>
        <v>-2.3388269097865755E-3</v>
      </c>
      <c r="L20" s="2">
        <v>4.83046E-3</v>
      </c>
      <c r="M20">
        <f t="shared" si="4"/>
        <v>2.0702004989060258E-6</v>
      </c>
      <c r="N20" s="2">
        <v>4.80008E-3</v>
      </c>
      <c r="O20">
        <f t="shared" si="5"/>
        <v>-8.5695342626461932E-3</v>
      </c>
      <c r="P20" s="3"/>
      <c r="Q20" s="3"/>
      <c r="R20" s="3"/>
      <c r="S20" s="3"/>
    </row>
    <row r="21" spans="1:19" x14ac:dyDescent="0.2">
      <c r="A21" t="s">
        <v>10</v>
      </c>
      <c r="B21" t="s">
        <v>6</v>
      </c>
      <c r="C21">
        <v>100</v>
      </c>
      <c r="D21" s="2">
        <v>4383785</v>
      </c>
      <c r="E21">
        <f t="shared" si="0"/>
        <v>-1.8933051816341185E-5</v>
      </c>
      <c r="F21" s="2">
        <v>15.3438</v>
      </c>
      <c r="G21">
        <f t="shared" si="1"/>
        <v>0</v>
      </c>
      <c r="H21" s="2">
        <v>6.6582000000000002E-2</v>
      </c>
      <c r="I21">
        <f t="shared" si="2"/>
        <v>5.1067460114821051E-5</v>
      </c>
      <c r="J21" s="2">
        <v>5.8698100000000003E-2</v>
      </c>
      <c r="K21">
        <f t="shared" si="3"/>
        <v>2.8962593958067485E-5</v>
      </c>
      <c r="L21" s="2">
        <v>4.8260200000000003E-3</v>
      </c>
      <c r="M21">
        <f t="shared" si="4"/>
        <v>4.1442188147288065E-6</v>
      </c>
      <c r="N21" s="2">
        <v>4.7935800000000004E-3</v>
      </c>
      <c r="O21">
        <f t="shared" si="5"/>
        <v>0</v>
      </c>
      <c r="P21" s="3"/>
      <c r="Q21" s="3"/>
      <c r="R21" s="3"/>
      <c r="S21" s="3"/>
    </row>
    <row r="22" spans="1:19" x14ac:dyDescent="0.2">
      <c r="A22" t="s">
        <v>10</v>
      </c>
      <c r="B22" t="s">
        <v>7</v>
      </c>
      <c r="C22">
        <v>100</v>
      </c>
      <c r="D22">
        <v>4383984</v>
      </c>
      <c r="E22">
        <f t="shared" ref="E22:E31" si="6">(D22-D2)/D2</f>
        <v>-6.0671722643553628E-5</v>
      </c>
      <c r="F22" s="2">
        <v>15.350199999999999</v>
      </c>
      <c r="G22">
        <f t="shared" ref="G22:G31" si="7">(F22-F2)/F2</f>
        <v>-6.5145306607390929E-6</v>
      </c>
      <c r="H22" s="2">
        <v>6.6883899999999996E-2</v>
      </c>
      <c r="I22">
        <f t="shared" ref="I22:I31" si="8">(H22-H2)/H2</f>
        <v>-5.98015485611598E-5</v>
      </c>
      <c r="J22" s="2">
        <v>5.8578600000000002E-2</v>
      </c>
      <c r="K22">
        <f t="shared" ref="K22:K31" si="9">(J22-J2)/J2</f>
        <v>-9.0468541698312158E-5</v>
      </c>
      <c r="L22" s="2">
        <v>4.7862900000000003E-3</v>
      </c>
      <c r="M22">
        <f t="shared" ref="M22:M31" si="10">(L22-L2)/L2</f>
        <v>-4.178584337387512E-6</v>
      </c>
      <c r="N22" s="2">
        <v>4.7861800000000001E-3</v>
      </c>
      <c r="O22">
        <f t="shared" ref="O22:O31" si="11">(N22-N2)/N2</f>
        <v>-4.1786803727134726E-6</v>
      </c>
      <c r="P22" s="3">
        <v>0.83341699999999996</v>
      </c>
      <c r="Q22" s="3" t="s">
        <v>29</v>
      </c>
      <c r="R22" s="3" t="s">
        <v>33</v>
      </c>
      <c r="S22" s="3" t="s">
        <v>31</v>
      </c>
    </row>
    <row r="23" spans="1:19" x14ac:dyDescent="0.2">
      <c r="A23" t="s">
        <v>10</v>
      </c>
      <c r="B23" t="s">
        <v>7</v>
      </c>
      <c r="C23">
        <v>100</v>
      </c>
      <c r="D23" s="2">
        <v>4384271</v>
      </c>
      <c r="E23">
        <f t="shared" si="6"/>
        <v>-5.907132577494053E-5</v>
      </c>
      <c r="F23" s="2">
        <v>15.3452</v>
      </c>
      <c r="G23">
        <f t="shared" si="7"/>
        <v>-6.5166533075121991E-6</v>
      </c>
      <c r="H23" s="2">
        <v>6.4824599999999996E-2</v>
      </c>
      <c r="I23">
        <f t="shared" si="8"/>
        <v>-3.6855131575915011E-4</v>
      </c>
      <c r="J23" s="2">
        <v>5.8173299999999997E-2</v>
      </c>
      <c r="K23">
        <f t="shared" si="9"/>
        <v>-1.3234561111014547E-4</v>
      </c>
      <c r="L23" s="2">
        <v>4.8339999999999998E-3</v>
      </c>
      <c r="M23">
        <f t="shared" si="10"/>
        <v>-2.4823545960827348E-5</v>
      </c>
      <c r="N23" s="2">
        <v>4.8120200000000002E-3</v>
      </c>
      <c r="O23">
        <f t="shared" si="11"/>
        <v>-3.7404929138397903E-5</v>
      </c>
      <c r="P23" s="3"/>
      <c r="Q23" s="3"/>
      <c r="R23" s="3"/>
      <c r="S23" s="3"/>
    </row>
    <row r="24" spans="1:19" x14ac:dyDescent="0.2">
      <c r="A24" t="s">
        <v>10</v>
      </c>
      <c r="B24" t="s">
        <v>7</v>
      </c>
      <c r="C24">
        <v>100</v>
      </c>
      <c r="D24" s="2">
        <v>4383983</v>
      </c>
      <c r="E24">
        <f t="shared" si="6"/>
        <v>-3.3530027622356089E-5</v>
      </c>
      <c r="F24" s="2">
        <v>15.3459</v>
      </c>
      <c r="G24">
        <f t="shared" si="7"/>
        <v>0</v>
      </c>
      <c r="H24" s="2">
        <v>6.5635399999999997E-2</v>
      </c>
      <c r="I24">
        <f t="shared" si="8"/>
        <v>-6.0939009192710484E-5</v>
      </c>
      <c r="J24" s="2">
        <v>5.7653700000000002E-2</v>
      </c>
      <c r="K24">
        <f t="shared" si="9"/>
        <v>-4.8563475063475052E-5</v>
      </c>
      <c r="L24" s="2">
        <v>4.8015799999999997E-3</v>
      </c>
      <c r="M24">
        <f t="shared" si="10"/>
        <v>-7.7052030945845896E-5</v>
      </c>
      <c r="N24" s="2">
        <v>4.7822000000000003E-3</v>
      </c>
      <c r="O24">
        <f t="shared" si="11"/>
        <v>-3.3456285181357559E-5</v>
      </c>
      <c r="P24" s="3"/>
      <c r="Q24" s="3"/>
      <c r="R24" s="3"/>
      <c r="S24" s="3"/>
    </row>
    <row r="25" spans="1:19" x14ac:dyDescent="0.2">
      <c r="A25" t="s">
        <v>10</v>
      </c>
      <c r="B25" t="s">
        <v>7</v>
      </c>
      <c r="C25">
        <v>100</v>
      </c>
      <c r="D25" s="2">
        <v>4383308</v>
      </c>
      <c r="E25">
        <f t="shared" si="6"/>
        <v>-3.9466351057527115E-5</v>
      </c>
      <c r="F25" s="2">
        <v>15.345700000000001</v>
      </c>
      <c r="G25">
        <f t="shared" si="7"/>
        <v>1.9549832523171582E-5</v>
      </c>
      <c r="H25" s="2">
        <v>6.5311900000000006E-2</v>
      </c>
      <c r="I25">
        <f t="shared" si="8"/>
        <v>-3.9181174669983732E-4</v>
      </c>
      <c r="J25" s="2">
        <v>5.7660599999999999E-2</v>
      </c>
      <c r="K25">
        <f t="shared" si="9"/>
        <v>-1.7339857743812377E-4</v>
      </c>
      <c r="L25" s="2">
        <v>4.8173299999999999E-3</v>
      </c>
      <c r="M25">
        <f t="shared" si="10"/>
        <v>-2.6985174760163097E-5</v>
      </c>
      <c r="N25" s="2">
        <v>4.8143200000000004E-3</v>
      </c>
      <c r="O25">
        <f t="shared" si="11"/>
        <v>-1.0385574851891952E-5</v>
      </c>
      <c r="P25" s="3"/>
      <c r="Q25" s="3"/>
      <c r="R25" s="3"/>
      <c r="S25" s="3"/>
    </row>
    <row r="26" spans="1:19" x14ac:dyDescent="0.2">
      <c r="A26" t="s">
        <v>10</v>
      </c>
      <c r="B26" t="s">
        <v>7</v>
      </c>
      <c r="C26">
        <v>100</v>
      </c>
      <c r="D26" s="2">
        <v>4384502</v>
      </c>
      <c r="E26">
        <f t="shared" si="6"/>
        <v>-4.4700912126673259E-5</v>
      </c>
      <c r="F26" s="2">
        <v>15.347200000000001</v>
      </c>
      <c r="G26">
        <f t="shared" si="7"/>
        <v>1.9547921730191583E-5</v>
      </c>
      <c r="H26" s="2">
        <v>6.6639699999999996E-2</v>
      </c>
      <c r="I26">
        <f t="shared" si="8"/>
        <v>-1.6503952696666539E-4</v>
      </c>
      <c r="J26" s="2">
        <v>5.8417700000000003E-2</v>
      </c>
      <c r="K26">
        <f t="shared" si="9"/>
        <v>-5.1354034714428589E-6</v>
      </c>
      <c r="L26" s="2">
        <v>4.7974899999999997E-3</v>
      </c>
      <c r="M26">
        <f t="shared" si="10"/>
        <v>-1.6047483879586168E-4</v>
      </c>
      <c r="N26" s="2">
        <v>4.7755300000000001E-3</v>
      </c>
      <c r="O26">
        <f t="shared" si="11"/>
        <v>-9.0034254893267191E-5</v>
      </c>
      <c r="P26" s="3"/>
      <c r="Q26" s="3"/>
      <c r="R26" s="3"/>
      <c r="S26" s="3"/>
    </row>
    <row r="27" spans="1:19" x14ac:dyDescent="0.2">
      <c r="A27" t="s">
        <v>10</v>
      </c>
      <c r="B27" t="s">
        <v>7</v>
      </c>
      <c r="C27">
        <v>100</v>
      </c>
      <c r="D27" s="2">
        <v>4384617</v>
      </c>
      <c r="E27">
        <f t="shared" si="6"/>
        <v>-4.0822879787337881E-5</v>
      </c>
      <c r="F27" s="2">
        <v>15.348800000000001</v>
      </c>
      <c r="G27">
        <f t="shared" si="7"/>
        <v>6.5152097572786819E-6</v>
      </c>
      <c r="H27" s="2">
        <v>6.7191399999999998E-2</v>
      </c>
      <c r="I27">
        <f t="shared" si="8"/>
        <v>-2.3658144278968578E-4</v>
      </c>
      <c r="J27" s="2">
        <v>5.89895E-2</v>
      </c>
      <c r="K27">
        <f t="shared" si="9"/>
        <v>-1.4915684011227969E-4</v>
      </c>
      <c r="L27" s="2">
        <v>4.8562299999999996E-3</v>
      </c>
      <c r="M27">
        <f t="shared" si="10"/>
        <v>5.5601775961759133E-5</v>
      </c>
      <c r="N27" s="2">
        <v>4.7940600000000002E-3</v>
      </c>
      <c r="O27">
        <f t="shared" si="11"/>
        <v>2.0859581640287672E-5</v>
      </c>
      <c r="P27" s="3"/>
      <c r="Q27" s="3"/>
      <c r="R27" s="3"/>
      <c r="S27" s="3"/>
    </row>
    <row r="28" spans="1:19" x14ac:dyDescent="0.2">
      <c r="A28" t="s">
        <v>10</v>
      </c>
      <c r="B28" t="s">
        <v>7</v>
      </c>
      <c r="C28">
        <v>100</v>
      </c>
      <c r="D28" s="2">
        <v>4384459</v>
      </c>
      <c r="E28">
        <f t="shared" si="6"/>
        <v>-4.4929408373199632E-5</v>
      </c>
      <c r="F28" s="2">
        <v>15.3477</v>
      </c>
      <c r="G28">
        <f t="shared" si="7"/>
        <v>6.5156767181687651E-6</v>
      </c>
      <c r="H28" s="2">
        <v>6.6707199999999994E-2</v>
      </c>
      <c r="I28">
        <f t="shared" si="8"/>
        <v>2.9982670016552265E-5</v>
      </c>
      <c r="J28" s="2">
        <v>5.9182400000000003E-2</v>
      </c>
      <c r="K28">
        <f t="shared" si="9"/>
        <v>-5.7446211760146621E-5</v>
      </c>
      <c r="L28" s="2">
        <v>4.7800500000000001E-3</v>
      </c>
      <c r="M28">
        <f t="shared" si="10"/>
        <v>2.0920327026427835E-6</v>
      </c>
      <c r="N28" s="2">
        <v>4.8099500000000003E-3</v>
      </c>
      <c r="O28">
        <f t="shared" si="11"/>
        <v>-2.0790193681320866E-6</v>
      </c>
      <c r="P28" s="3"/>
      <c r="Q28" s="3"/>
      <c r="R28" s="3"/>
      <c r="S28" s="3"/>
    </row>
    <row r="29" spans="1:19" x14ac:dyDescent="0.2">
      <c r="A29" t="s">
        <v>10</v>
      </c>
      <c r="B29" t="s">
        <v>7</v>
      </c>
      <c r="C29">
        <v>100</v>
      </c>
      <c r="D29" s="2">
        <v>4380913</v>
      </c>
      <c r="E29">
        <f t="shared" si="6"/>
        <v>-5.4323624088738324E-5</v>
      </c>
      <c r="F29" s="2">
        <v>15.3384</v>
      </c>
      <c r="G29">
        <f t="shared" si="7"/>
        <v>-6.5195423281133714E-6</v>
      </c>
      <c r="H29" s="2">
        <v>6.6503599999999996E-2</v>
      </c>
      <c r="I29">
        <f t="shared" si="8"/>
        <v>2.9029409950920553E-4</v>
      </c>
      <c r="J29" s="2">
        <v>5.8612200000000003E-2</v>
      </c>
      <c r="K29">
        <f t="shared" si="9"/>
        <v>9.8965300718014575E-5</v>
      </c>
      <c r="L29" s="2">
        <v>4.8213400000000003E-3</v>
      </c>
      <c r="M29">
        <f t="shared" si="10"/>
        <v>2.0741551965941019E-5</v>
      </c>
      <c r="N29" s="2">
        <v>4.8000899999999999E-3</v>
      </c>
      <c r="O29">
        <f t="shared" si="11"/>
        <v>6.2499218759394331E-6</v>
      </c>
      <c r="P29" s="3"/>
      <c r="Q29" s="3"/>
      <c r="R29" s="3"/>
      <c r="S29" s="3"/>
    </row>
    <row r="30" spans="1:19" x14ac:dyDescent="0.2">
      <c r="A30" t="s">
        <v>10</v>
      </c>
      <c r="B30" t="s">
        <v>7</v>
      </c>
      <c r="C30">
        <v>100</v>
      </c>
      <c r="D30" s="2">
        <v>4385095</v>
      </c>
      <c r="E30">
        <f t="shared" si="6"/>
        <v>-5.1991609283968361E-5</v>
      </c>
      <c r="F30" s="2">
        <v>15.3476</v>
      </c>
      <c r="G30">
        <f t="shared" si="7"/>
        <v>1.3031523254722877E-5</v>
      </c>
      <c r="H30" s="2">
        <v>6.6680000000000003E-2</v>
      </c>
      <c r="I30">
        <f t="shared" si="8"/>
        <v>-4.348941032858686E-5</v>
      </c>
      <c r="J30" s="2">
        <v>5.8745199999999997E-2</v>
      </c>
      <c r="K30">
        <f t="shared" si="9"/>
        <v>-3.7448465804457944E-5</v>
      </c>
      <c r="L30" s="2">
        <v>4.8304400000000001E-3</v>
      </c>
      <c r="M30">
        <f t="shared" si="10"/>
        <v>-2.0702004989060258E-6</v>
      </c>
      <c r="N30" s="2">
        <v>4.84156E-3</v>
      </c>
      <c r="O30">
        <f t="shared" si="11"/>
        <v>-2.0654457128453397E-6</v>
      </c>
      <c r="P30" s="3"/>
      <c r="Q30" s="3"/>
      <c r="R30" s="3"/>
      <c r="S30" s="3"/>
    </row>
    <row r="31" spans="1:19" x14ac:dyDescent="0.2">
      <c r="A31" t="s">
        <v>10</v>
      </c>
      <c r="B31" t="s">
        <v>7</v>
      </c>
      <c r="C31">
        <v>100</v>
      </c>
      <c r="D31" s="2">
        <v>4383683</v>
      </c>
      <c r="E31">
        <f t="shared" si="6"/>
        <v>-4.2200175735218304E-5</v>
      </c>
      <c r="F31" s="2">
        <v>15.3438</v>
      </c>
      <c r="G31">
        <f t="shared" si="7"/>
        <v>0</v>
      </c>
      <c r="H31" s="2">
        <v>6.6574599999999998E-2</v>
      </c>
      <c r="I31">
        <f t="shared" si="8"/>
        <v>-6.0079364841014982E-5</v>
      </c>
      <c r="J31" s="2">
        <v>5.8693099999999998E-2</v>
      </c>
      <c r="K31">
        <f t="shared" si="9"/>
        <v>-5.6221505918671129E-5</v>
      </c>
      <c r="L31" s="2">
        <v>4.8259799999999997E-3</v>
      </c>
      <c r="M31">
        <f t="shared" si="10"/>
        <v>-4.1442188149085334E-6</v>
      </c>
      <c r="N31" s="2">
        <v>4.7935599999999997E-3</v>
      </c>
      <c r="O31">
        <f t="shared" si="11"/>
        <v>-4.1722470472483159E-6</v>
      </c>
      <c r="P31" s="3"/>
      <c r="Q31" s="3"/>
      <c r="R31" s="3"/>
      <c r="S31" s="3"/>
    </row>
    <row r="32" spans="1:19" x14ac:dyDescent="0.2">
      <c r="A32" t="s">
        <v>10</v>
      </c>
      <c r="B32" t="s">
        <v>8</v>
      </c>
      <c r="C32">
        <v>100</v>
      </c>
      <c r="D32">
        <v>4383870</v>
      </c>
      <c r="E32">
        <f t="shared" ref="E32:E41" si="12">(D32-D2)/D2</f>
        <v>-8.6673889490790893E-5</v>
      </c>
      <c r="F32" s="2">
        <v>15.350199999999999</v>
      </c>
      <c r="G32">
        <f t="shared" ref="G32:G41" si="13">(F32-F2)/F2</f>
        <v>-6.5145306607390929E-6</v>
      </c>
      <c r="H32" s="2">
        <v>6.68826E-2</v>
      </c>
      <c r="I32">
        <f t="shared" ref="I32:I41" si="14">(H32-H2)/H2</f>
        <v>-7.9237051843453738E-5</v>
      </c>
      <c r="J32" s="2">
        <v>5.8577799999999999E-2</v>
      </c>
      <c r="K32">
        <f t="shared" ref="K32:K41" si="15">(J32-J2)/J2</f>
        <v>-1.0412417063394443E-4</v>
      </c>
      <c r="L32" s="2">
        <v>4.7859299999999999E-3</v>
      </c>
      <c r="M32">
        <f t="shared" ref="M32:M41" si="16">(L32-L2)/L2</f>
        <v>-7.9393102410906378E-5</v>
      </c>
      <c r="N32" s="2">
        <v>4.7860300000000001E-3</v>
      </c>
      <c r="O32">
        <f t="shared" ref="O32:O41" si="17">(N32-N2)/N2</f>
        <v>-3.5518783168245744E-5</v>
      </c>
      <c r="P32" s="3">
        <v>0.83335599999999999</v>
      </c>
      <c r="Q32" s="3" t="s">
        <v>29</v>
      </c>
      <c r="R32" s="3" t="s">
        <v>34</v>
      </c>
      <c r="S32" s="3" t="s">
        <v>31</v>
      </c>
    </row>
    <row r="33" spans="1:19" x14ac:dyDescent="0.2">
      <c r="A33" t="s">
        <v>10</v>
      </c>
      <c r="B33" t="s">
        <v>8</v>
      </c>
      <c r="C33">
        <v>100</v>
      </c>
      <c r="D33" s="2">
        <v>4384151</v>
      </c>
      <c r="E33">
        <f t="shared" si="12"/>
        <v>-8.6440279801940005E-5</v>
      </c>
      <c r="F33" s="2">
        <v>15.3451</v>
      </c>
      <c r="G33">
        <f t="shared" si="13"/>
        <v>-1.3033306615024398E-5</v>
      </c>
      <c r="H33" s="2">
        <v>6.4836000000000005E-2</v>
      </c>
      <c r="I33">
        <f t="shared" si="14"/>
        <v>-1.9275696430909924E-4</v>
      </c>
      <c r="J33" s="2">
        <v>5.8176600000000002E-2</v>
      </c>
      <c r="K33">
        <f t="shared" si="15"/>
        <v>-7.5626063491426523E-5</v>
      </c>
      <c r="L33" s="2">
        <v>4.8347599999999996E-3</v>
      </c>
      <c r="M33">
        <f t="shared" si="16"/>
        <v>1.3239224512417329E-4</v>
      </c>
      <c r="N33" s="2">
        <v>4.8123300000000001E-3</v>
      </c>
      <c r="O33">
        <f t="shared" si="17"/>
        <v>2.701467104444855E-5</v>
      </c>
      <c r="P33" s="3"/>
      <c r="Q33" s="3"/>
      <c r="R33" s="3"/>
      <c r="S33" s="3"/>
    </row>
    <row r="34" spans="1:19" x14ac:dyDescent="0.2">
      <c r="A34" t="s">
        <v>10</v>
      </c>
      <c r="B34" t="s">
        <v>8</v>
      </c>
      <c r="C34">
        <v>100</v>
      </c>
      <c r="D34" s="2">
        <v>4383925</v>
      </c>
      <c r="E34">
        <f t="shared" si="12"/>
        <v>-4.6759562330496584E-5</v>
      </c>
      <c r="F34" s="2">
        <v>15.3459</v>
      </c>
      <c r="G34">
        <f t="shared" si="13"/>
        <v>0</v>
      </c>
      <c r="H34" s="2">
        <v>6.5626699999999996E-2</v>
      </c>
      <c r="I34">
        <f t="shared" si="14"/>
        <v>-1.9348135418672892E-4</v>
      </c>
      <c r="J34" s="2">
        <v>5.765E-2</v>
      </c>
      <c r="K34">
        <f t="shared" si="15"/>
        <v>-1.1273663854031309E-4</v>
      </c>
      <c r="L34" s="2">
        <v>4.80153E-3</v>
      </c>
      <c r="M34">
        <f t="shared" si="16"/>
        <v>-8.7464467560076175E-5</v>
      </c>
      <c r="N34" s="2">
        <v>4.7821799999999996E-3</v>
      </c>
      <c r="O34">
        <f t="shared" si="17"/>
        <v>-3.7638320829185953E-5</v>
      </c>
      <c r="P34" s="3"/>
      <c r="Q34" s="3"/>
      <c r="R34" s="3"/>
      <c r="S34" s="3"/>
    </row>
    <row r="35" spans="1:19" x14ac:dyDescent="0.2">
      <c r="A35" t="s">
        <v>10</v>
      </c>
      <c r="B35" t="s">
        <v>8</v>
      </c>
      <c r="C35">
        <v>100</v>
      </c>
      <c r="D35" s="2">
        <v>4383230</v>
      </c>
      <c r="E35">
        <f t="shared" si="12"/>
        <v>-5.7260428412943959E-5</v>
      </c>
      <c r="F35" s="2">
        <v>15.345700000000001</v>
      </c>
      <c r="G35">
        <f t="shared" si="13"/>
        <v>1.9549832523171582E-5</v>
      </c>
      <c r="H35" s="2">
        <v>6.5297599999999997E-2</v>
      </c>
      <c r="I35">
        <f t="shared" si="14"/>
        <v>-6.1067533958307811E-4</v>
      </c>
      <c r="J35" s="2">
        <v>5.7654299999999999E-2</v>
      </c>
      <c r="K35">
        <f t="shared" si="15"/>
        <v>-2.8263968122412133E-4</v>
      </c>
      <c r="L35" s="2">
        <v>4.8172500000000004E-3</v>
      </c>
      <c r="M35">
        <f t="shared" si="16"/>
        <v>-4.35914361509219E-5</v>
      </c>
      <c r="N35" s="2">
        <v>4.8141399999999997E-3</v>
      </c>
      <c r="O35">
        <f t="shared" si="17"/>
        <v>-4.7773644319063305E-5</v>
      </c>
      <c r="P35" s="3"/>
      <c r="Q35" s="3"/>
      <c r="R35" s="3"/>
      <c r="S35" s="3"/>
    </row>
    <row r="36" spans="1:19" x14ac:dyDescent="0.2">
      <c r="A36" t="s">
        <v>10</v>
      </c>
      <c r="B36" t="s">
        <v>8</v>
      </c>
      <c r="C36">
        <v>100</v>
      </c>
      <c r="D36" s="2">
        <v>4384455</v>
      </c>
      <c r="E36">
        <f t="shared" si="12"/>
        <v>-5.5420008401946952E-5</v>
      </c>
      <c r="F36" s="2">
        <v>15.347200000000001</v>
      </c>
      <c r="G36">
        <f t="shared" si="13"/>
        <v>1.9547921730191583E-5</v>
      </c>
      <c r="H36" s="2">
        <v>6.6653699999999996E-2</v>
      </c>
      <c r="I36">
        <f t="shared" si="14"/>
        <v>4.5010780081874616E-5</v>
      </c>
      <c r="J36" s="2">
        <v>5.8430799999999998E-2</v>
      </c>
      <c r="K36">
        <f t="shared" si="15"/>
        <v>2.1911054811873587E-4</v>
      </c>
      <c r="L36" s="2">
        <v>4.7975600000000002E-3</v>
      </c>
      <c r="M36">
        <f t="shared" si="16"/>
        <v>-1.4588621708706481E-4</v>
      </c>
      <c r="N36" s="2">
        <v>4.7755899999999997E-3</v>
      </c>
      <c r="O36">
        <f t="shared" si="17"/>
        <v>-7.7471335605910579E-5</v>
      </c>
      <c r="P36" s="3"/>
      <c r="Q36" s="3"/>
      <c r="R36" s="3"/>
      <c r="S36" s="3"/>
    </row>
    <row r="37" spans="1:19" x14ac:dyDescent="0.2">
      <c r="A37" t="s">
        <v>10</v>
      </c>
      <c r="B37" t="s">
        <v>8</v>
      </c>
      <c r="C37">
        <v>100</v>
      </c>
      <c r="D37" s="2">
        <v>4384546</v>
      </c>
      <c r="E37">
        <f t="shared" si="12"/>
        <v>-5.7015195233712127E-5</v>
      </c>
      <c r="F37" s="2">
        <v>15.348699999999999</v>
      </c>
      <c r="G37">
        <f t="shared" si="13"/>
        <v>0</v>
      </c>
      <c r="H37" s="2">
        <v>6.7198400000000005E-2</v>
      </c>
      <c r="I37">
        <f t="shared" si="14"/>
        <v>-1.3242609061801691E-4</v>
      </c>
      <c r="J37" s="2">
        <v>5.8986700000000003E-2</v>
      </c>
      <c r="K37">
        <f t="shared" si="15"/>
        <v>-1.9661583469343286E-4</v>
      </c>
      <c r="L37" s="2">
        <v>4.8562700000000002E-3</v>
      </c>
      <c r="M37">
        <f t="shared" si="16"/>
        <v>6.3839076104394118E-5</v>
      </c>
      <c r="N37" s="2">
        <v>4.7940400000000003E-3</v>
      </c>
      <c r="O37">
        <f t="shared" si="17"/>
        <v>1.6687665312266323E-5</v>
      </c>
      <c r="P37" s="3"/>
      <c r="Q37" s="3"/>
      <c r="R37" s="3"/>
      <c r="S37" s="3"/>
    </row>
    <row r="38" spans="1:19" x14ac:dyDescent="0.2">
      <c r="A38" t="s">
        <v>10</v>
      </c>
      <c r="B38" t="s">
        <v>8</v>
      </c>
      <c r="C38">
        <v>100</v>
      </c>
      <c r="D38" s="2">
        <v>4384363</v>
      </c>
      <c r="E38">
        <f t="shared" si="12"/>
        <v>-6.6823942402779153E-5</v>
      </c>
      <c r="F38" s="2">
        <v>15.3476</v>
      </c>
      <c r="G38">
        <f t="shared" si="13"/>
        <v>0</v>
      </c>
      <c r="H38" s="2">
        <v>6.6705799999999996E-2</v>
      </c>
      <c r="I38">
        <f t="shared" si="14"/>
        <v>8.9948010048616558E-6</v>
      </c>
      <c r="J38" s="2">
        <v>5.9176800000000002E-2</v>
      </c>
      <c r="K38">
        <f t="shared" si="15"/>
        <v>-1.5206350171823518E-4</v>
      </c>
      <c r="L38" s="2">
        <v>4.7800400000000002E-3</v>
      </c>
      <c r="M38">
        <f t="shared" si="16"/>
        <v>0</v>
      </c>
      <c r="N38" s="2">
        <v>4.8099199999999996E-3</v>
      </c>
      <c r="O38">
        <f t="shared" si="17"/>
        <v>-8.316077472708673E-6</v>
      </c>
      <c r="P38" s="3"/>
      <c r="Q38" s="3"/>
      <c r="R38" s="3"/>
      <c r="S38" s="3"/>
    </row>
    <row r="39" spans="1:19" x14ac:dyDescent="0.2">
      <c r="A39" t="s">
        <v>10</v>
      </c>
      <c r="B39" t="s">
        <v>8</v>
      </c>
      <c r="C39">
        <v>100</v>
      </c>
      <c r="D39" s="2">
        <v>4380843</v>
      </c>
      <c r="E39">
        <f t="shared" si="12"/>
        <v>-7.0301160585426064E-5</v>
      </c>
      <c r="F39" s="2">
        <v>15.3384</v>
      </c>
      <c r="G39">
        <f t="shared" si="13"/>
        <v>-6.5195423281133714E-6</v>
      </c>
      <c r="H39" s="2">
        <v>6.6497299999999995E-2</v>
      </c>
      <c r="I39">
        <f t="shared" si="14"/>
        <v>1.9553488567976385E-4</v>
      </c>
      <c r="J39" s="2">
        <v>5.8608399999999998E-2</v>
      </c>
      <c r="K39">
        <f t="shared" si="15"/>
        <v>3.4125965764746877E-5</v>
      </c>
      <c r="L39" s="2">
        <v>4.8213099999999997E-3</v>
      </c>
      <c r="M39">
        <f t="shared" si="16"/>
        <v>1.451908637603278E-5</v>
      </c>
      <c r="N39" s="2">
        <v>4.80007E-3</v>
      </c>
      <c r="O39">
        <f t="shared" si="17"/>
        <v>2.0833072919798112E-6</v>
      </c>
      <c r="P39" s="3"/>
      <c r="Q39" s="3"/>
      <c r="R39" s="3"/>
      <c r="S39" s="3"/>
    </row>
    <row r="40" spans="1:19" x14ac:dyDescent="0.2">
      <c r="A40" t="s">
        <v>10</v>
      </c>
      <c r="B40" t="s">
        <v>8</v>
      </c>
      <c r="C40">
        <v>100</v>
      </c>
      <c r="D40" s="2">
        <v>4385011</v>
      </c>
      <c r="E40">
        <f t="shared" si="12"/>
        <v>-7.1146412704377766E-5</v>
      </c>
      <c r="F40" s="2">
        <v>15.3475</v>
      </c>
      <c r="G40">
        <f t="shared" si="13"/>
        <v>6.5157616273614385E-6</v>
      </c>
      <c r="H40" s="2">
        <v>6.6675600000000002E-2</v>
      </c>
      <c r="I40">
        <f t="shared" si="14"/>
        <v>-1.0947334324094707E-4</v>
      </c>
      <c r="J40" s="2">
        <v>5.8740599999999997E-2</v>
      </c>
      <c r="K40">
        <f t="shared" si="15"/>
        <v>-1.1574980339557579E-4</v>
      </c>
      <c r="L40" s="2">
        <v>4.8300599999999997E-3</v>
      </c>
      <c r="M40">
        <f t="shared" si="16"/>
        <v>-8.0737819457873692E-5</v>
      </c>
      <c r="N40" s="2">
        <v>4.8413900000000001E-3</v>
      </c>
      <c r="O40">
        <f t="shared" si="17"/>
        <v>-3.7178022831395265E-5</v>
      </c>
      <c r="P40" s="3"/>
      <c r="Q40" s="3"/>
      <c r="R40" s="3"/>
      <c r="S40" s="3"/>
    </row>
    <row r="41" spans="1:19" x14ac:dyDescent="0.2">
      <c r="A41" t="s">
        <v>10</v>
      </c>
      <c r="B41" t="s">
        <v>8</v>
      </c>
      <c r="C41">
        <v>100</v>
      </c>
      <c r="D41" s="2">
        <v>4383608</v>
      </c>
      <c r="E41">
        <f t="shared" si="12"/>
        <v>-5.9308355087333833E-5</v>
      </c>
      <c r="F41" s="2">
        <v>15.3437</v>
      </c>
      <c r="G41">
        <f t="shared" si="13"/>
        <v>-6.5172903713400161E-6</v>
      </c>
      <c r="H41" s="2">
        <v>6.6571000000000005E-2</v>
      </c>
      <c r="I41">
        <f t="shared" si="14"/>
        <v>-1.1415079319776171E-4</v>
      </c>
      <c r="J41" s="2">
        <v>5.8692500000000002E-2</v>
      </c>
      <c r="K41">
        <f t="shared" si="15"/>
        <v>-6.6443597903808834E-5</v>
      </c>
      <c r="L41" s="2">
        <v>4.8259599999999998E-3</v>
      </c>
      <c r="M41">
        <f t="shared" si="16"/>
        <v>-8.2884376296373399E-6</v>
      </c>
      <c r="N41" s="2">
        <v>4.7935599999999997E-3</v>
      </c>
      <c r="O41">
        <f t="shared" si="17"/>
        <v>-4.1722470472483159E-6</v>
      </c>
      <c r="P41" s="3"/>
      <c r="Q41" s="3"/>
      <c r="R41" s="3"/>
      <c r="S41" s="3"/>
    </row>
    <row r="42" spans="1:19" x14ac:dyDescent="0.2">
      <c r="A42" t="s">
        <v>10</v>
      </c>
      <c r="B42" t="s">
        <v>9</v>
      </c>
      <c r="C42">
        <v>100</v>
      </c>
      <c r="D42">
        <v>4507528</v>
      </c>
      <c r="E42">
        <f t="shared" ref="E42:E51" si="18">(D42-D2)/D2</f>
        <v>2.8118378285909792E-2</v>
      </c>
      <c r="F42" s="2">
        <v>15.4207</v>
      </c>
      <c r="G42">
        <f t="shared" ref="G42:G51" si="19">(F42-F2)/F2</f>
        <v>4.5862295850895001E-3</v>
      </c>
      <c r="H42" s="2">
        <v>5.7780499999999999E-2</v>
      </c>
      <c r="I42">
        <f t="shared" ref="I42:I51" si="20">(H42-H2)/H2</f>
        <v>-0.13615915584134053</v>
      </c>
      <c r="J42" s="2">
        <v>5.1787699999999999E-2</v>
      </c>
      <c r="K42">
        <f t="shared" ref="K42:K51" si="21">(J42-J2)/J2</f>
        <v>-0.1160079817151129</v>
      </c>
      <c r="L42" s="2">
        <v>4.7675399999999998E-3</v>
      </c>
      <c r="M42">
        <f t="shared" ref="M42:M51" si="22">(L42-L2)/L2</f>
        <v>-3.9216014006615571E-3</v>
      </c>
      <c r="N42" s="2">
        <v>4.7734400000000003E-3</v>
      </c>
      <c r="O42">
        <f t="shared" ref="O42:O51" si="23">(N42-N2)/N2</f>
        <v>-2.665998077806962E-3</v>
      </c>
      <c r="P42" s="3">
        <v>0.84462700000000002</v>
      </c>
      <c r="Q42" s="3" t="s">
        <v>35</v>
      </c>
      <c r="R42" s="3" t="s">
        <v>36</v>
      </c>
      <c r="S42" s="3" t="s">
        <v>28</v>
      </c>
    </row>
    <row r="43" spans="1:19" x14ac:dyDescent="0.2">
      <c r="A43" t="s">
        <v>10</v>
      </c>
      <c r="B43" t="s">
        <v>9</v>
      </c>
      <c r="C43">
        <v>100</v>
      </c>
      <c r="D43" s="2">
        <v>4503788</v>
      </c>
      <c r="E43">
        <f t="shared" si="18"/>
        <v>2.7199722661265861E-2</v>
      </c>
      <c r="F43" s="2">
        <v>15.428000000000001</v>
      </c>
      <c r="G43">
        <f t="shared" si="19"/>
        <v>5.3892722853252058E-3</v>
      </c>
      <c r="H43" s="2">
        <v>5.7372899999999998E-2</v>
      </c>
      <c r="I43">
        <f t="shared" si="20"/>
        <v>-0.11527791699114097</v>
      </c>
      <c r="J43" s="2">
        <v>5.8176600000000002E-2</v>
      </c>
      <c r="K43">
        <f t="shared" si="21"/>
        <v>-7.5626063491426523E-5</v>
      </c>
      <c r="L43" s="2">
        <v>4.82432E-3</v>
      </c>
      <c r="M43">
        <f t="shared" si="22"/>
        <v>-2.0272562534649355E-3</v>
      </c>
      <c r="N43" s="2">
        <v>4.8123300000000001E-3</v>
      </c>
      <c r="O43">
        <f t="shared" si="23"/>
        <v>2.701467104444855E-5</v>
      </c>
      <c r="P43" s="3"/>
      <c r="Q43" s="3"/>
      <c r="R43" s="3"/>
      <c r="S43" s="3"/>
    </row>
    <row r="44" spans="1:19" x14ac:dyDescent="0.2">
      <c r="A44" t="s">
        <v>10</v>
      </c>
      <c r="B44" t="s">
        <v>9</v>
      </c>
      <c r="C44">
        <v>100</v>
      </c>
      <c r="D44" s="2">
        <v>4451045</v>
      </c>
      <c r="E44">
        <f t="shared" si="18"/>
        <v>1.5263005430952093E-2</v>
      </c>
      <c r="F44" s="2">
        <v>15.3529</v>
      </c>
      <c r="G44">
        <f t="shared" si="19"/>
        <v>4.5614789618071753E-4</v>
      </c>
      <c r="H44" s="2">
        <v>6.07305E-2</v>
      </c>
      <c r="I44">
        <f t="shared" si="20"/>
        <v>-7.4785875556449333E-2</v>
      </c>
      <c r="J44" s="2">
        <v>5.765E-2</v>
      </c>
      <c r="K44">
        <f t="shared" si="21"/>
        <v>-1.1273663854031309E-4</v>
      </c>
      <c r="L44" s="2">
        <v>4.7853399999999999E-3</v>
      </c>
      <c r="M44">
        <f t="shared" si="22"/>
        <v>-3.4590114432678882E-3</v>
      </c>
      <c r="N44" s="2">
        <v>4.7821799999999996E-3</v>
      </c>
      <c r="O44">
        <f t="shared" si="23"/>
        <v>-3.7638320829185953E-5</v>
      </c>
      <c r="P44" s="3"/>
      <c r="Q44" s="3"/>
      <c r="R44" s="3"/>
      <c r="S44" s="3"/>
    </row>
    <row r="45" spans="1:19" x14ac:dyDescent="0.2">
      <c r="A45" t="s">
        <v>10</v>
      </c>
      <c r="B45" t="s">
        <v>9</v>
      </c>
      <c r="C45">
        <v>100</v>
      </c>
      <c r="D45" s="2">
        <v>4449129</v>
      </c>
      <c r="E45">
        <f t="shared" si="18"/>
        <v>1.4976225515748785E-2</v>
      </c>
      <c r="F45" s="2">
        <v>15.352499999999999</v>
      </c>
      <c r="G45">
        <f t="shared" si="19"/>
        <v>4.6267936971336297E-4</v>
      </c>
      <c r="H45" s="2">
        <v>6.0774300000000003E-2</v>
      </c>
      <c r="I45">
        <f t="shared" si="20"/>
        <v>-6.9840443849244357E-2</v>
      </c>
      <c r="J45" s="2">
        <v>5.7654299999999999E-2</v>
      </c>
      <c r="K45">
        <f t="shared" si="21"/>
        <v>-2.8263968122412133E-4</v>
      </c>
      <c r="L45" s="2">
        <v>4.7791999999999999E-3</v>
      </c>
      <c r="M45">
        <f t="shared" si="22"/>
        <v>-7.941944510177568E-3</v>
      </c>
      <c r="N45" s="2">
        <v>4.8141399999999997E-3</v>
      </c>
      <c r="O45">
        <f t="shared" si="23"/>
        <v>-4.7773644319063305E-5</v>
      </c>
      <c r="P45" s="3"/>
      <c r="Q45" s="3"/>
      <c r="R45" s="3"/>
      <c r="S45" s="3"/>
    </row>
    <row r="46" spans="1:19" x14ac:dyDescent="0.2">
      <c r="A46" t="s">
        <v>10</v>
      </c>
      <c r="B46" t="s">
        <v>9</v>
      </c>
      <c r="C46">
        <v>100</v>
      </c>
      <c r="D46" s="2">
        <v>4450599</v>
      </c>
      <c r="E46">
        <f t="shared" si="18"/>
        <v>1.5029769439081095E-2</v>
      </c>
      <c r="F46" s="2">
        <v>15.3561</v>
      </c>
      <c r="G46">
        <f t="shared" si="19"/>
        <v>5.9946959972371453E-4</v>
      </c>
      <c r="H46" s="2">
        <v>6.1197799999999997E-2</v>
      </c>
      <c r="I46">
        <f t="shared" si="20"/>
        <v>-8.18130942360695E-2</v>
      </c>
      <c r="J46" s="2">
        <v>5.8430799999999998E-2</v>
      </c>
      <c r="K46">
        <f t="shared" si="21"/>
        <v>2.1911054811873587E-4</v>
      </c>
      <c r="L46" s="2">
        <v>4.8383200000000001E-3</v>
      </c>
      <c r="M46">
        <f t="shared" si="22"/>
        <v>8.3488597950089703E-3</v>
      </c>
      <c r="N46" s="2">
        <v>4.7755899999999997E-3</v>
      </c>
      <c r="O46">
        <f t="shared" si="23"/>
        <v>-7.7471335605910579E-5</v>
      </c>
      <c r="P46" s="3"/>
      <c r="Q46" s="3"/>
      <c r="R46" s="3"/>
      <c r="S46" s="3"/>
    </row>
    <row r="47" spans="1:19" x14ac:dyDescent="0.2">
      <c r="A47" t="s">
        <v>10</v>
      </c>
      <c r="B47" t="s">
        <v>9</v>
      </c>
      <c r="C47">
        <v>100</v>
      </c>
      <c r="D47" s="2">
        <v>4450881</v>
      </c>
      <c r="E47">
        <f t="shared" si="18"/>
        <v>1.5071396708079464E-2</v>
      </c>
      <c r="F47" s="2">
        <v>15.355600000000001</v>
      </c>
      <c r="G47">
        <f t="shared" si="19"/>
        <v>4.4954947324540075E-4</v>
      </c>
      <c r="H47" s="2">
        <v>6.1177299999999997E-2</v>
      </c>
      <c r="I47">
        <f t="shared" si="20"/>
        <v>-8.9722396227790741E-2</v>
      </c>
      <c r="J47" s="2">
        <v>5.8986700000000003E-2</v>
      </c>
      <c r="K47">
        <f t="shared" si="21"/>
        <v>-1.9661583469343286E-4</v>
      </c>
      <c r="L47" s="2">
        <v>4.8550599999999996E-3</v>
      </c>
      <c r="M47">
        <f t="shared" si="22"/>
        <v>-1.8533925320651871E-4</v>
      </c>
      <c r="N47" s="2">
        <v>4.7940400000000003E-3</v>
      </c>
      <c r="O47">
        <f t="shared" si="23"/>
        <v>1.6687665312266323E-5</v>
      </c>
      <c r="P47" s="3"/>
      <c r="Q47" s="3"/>
      <c r="R47" s="3"/>
      <c r="S47" s="3"/>
    </row>
    <row r="48" spans="1:19" x14ac:dyDescent="0.2">
      <c r="A48" t="s">
        <v>10</v>
      </c>
      <c r="B48" t="s">
        <v>9</v>
      </c>
      <c r="C48">
        <v>100</v>
      </c>
      <c r="D48" s="2">
        <v>4449748</v>
      </c>
      <c r="E48">
        <f t="shared" si="18"/>
        <v>1.4845406344306145E-2</v>
      </c>
      <c r="F48" s="2">
        <v>15.350300000000001</v>
      </c>
      <c r="G48">
        <f t="shared" si="19"/>
        <v>1.7592327139101963E-4</v>
      </c>
      <c r="H48" s="2">
        <v>6.0705200000000001E-2</v>
      </c>
      <c r="I48">
        <f t="shared" si="20"/>
        <v>-8.9948010050191055E-2</v>
      </c>
      <c r="J48" s="2">
        <v>5.9175800000000001E-2</v>
      </c>
      <c r="K48">
        <f t="shared" si="21"/>
        <v>-1.689594463536207E-4</v>
      </c>
      <c r="L48" s="2">
        <v>4.7800400000000002E-3</v>
      </c>
      <c r="M48">
        <f t="shared" si="22"/>
        <v>0</v>
      </c>
      <c r="N48" s="2">
        <v>4.8098000000000004E-3</v>
      </c>
      <c r="O48">
        <f t="shared" si="23"/>
        <v>-3.3264309890293709E-5</v>
      </c>
      <c r="P48" s="3"/>
      <c r="Q48" s="3"/>
      <c r="R48" s="3"/>
      <c r="S48" s="3"/>
    </row>
    <row r="49" spans="1:19" x14ac:dyDescent="0.2">
      <c r="A49" t="s">
        <v>10</v>
      </c>
      <c r="B49" t="s">
        <v>9</v>
      </c>
      <c r="C49">
        <v>100</v>
      </c>
      <c r="D49" s="2">
        <v>4501584</v>
      </c>
      <c r="E49">
        <f t="shared" si="18"/>
        <v>2.7488895041508497E-2</v>
      </c>
      <c r="F49" s="2">
        <v>15.422700000000001</v>
      </c>
      <c r="G49">
        <f t="shared" si="19"/>
        <v>5.4894546402843138E-3</v>
      </c>
      <c r="H49" s="2">
        <v>5.8383299999999999E-2</v>
      </c>
      <c r="I49">
        <f t="shared" si="20"/>
        <v>-0.12184831606860563</v>
      </c>
      <c r="J49" s="2">
        <v>5.8608399999999998E-2</v>
      </c>
      <c r="K49">
        <f t="shared" si="21"/>
        <v>3.4125965764746877E-5</v>
      </c>
      <c r="L49" s="2">
        <v>4.8101000000000003E-3</v>
      </c>
      <c r="M49">
        <f t="shared" si="22"/>
        <v>-2.3106088889994609E-3</v>
      </c>
      <c r="N49" s="2">
        <v>4.80007E-3</v>
      </c>
      <c r="O49">
        <f t="shared" si="23"/>
        <v>2.0833072919798112E-6</v>
      </c>
      <c r="P49" s="3"/>
      <c r="Q49" s="3"/>
      <c r="R49" s="3"/>
      <c r="S49" s="3"/>
    </row>
    <row r="50" spans="1:19" x14ac:dyDescent="0.2">
      <c r="A50" t="s">
        <v>10</v>
      </c>
      <c r="B50" t="s">
        <v>9</v>
      </c>
      <c r="C50">
        <v>100</v>
      </c>
      <c r="D50" s="2">
        <v>4449822</v>
      </c>
      <c r="E50">
        <f t="shared" si="18"/>
        <v>1.4707924593011734E-2</v>
      </c>
      <c r="F50" s="2">
        <v>15.348699999999999</v>
      </c>
      <c r="G50">
        <f t="shared" si="19"/>
        <v>8.4704901155814447E-5</v>
      </c>
      <c r="H50" s="2">
        <v>6.1213400000000001E-2</v>
      </c>
      <c r="I50">
        <f t="shared" si="20"/>
        <v>-8.2022527514550234E-2</v>
      </c>
      <c r="J50" s="2">
        <v>5.8740599999999997E-2</v>
      </c>
      <c r="K50">
        <f t="shared" si="21"/>
        <v>-1.1574980339557579E-4</v>
      </c>
      <c r="L50" s="2">
        <v>4.8651800000000002E-3</v>
      </c>
      <c r="M50">
        <f t="shared" si="22"/>
        <v>7.1898063327433632E-3</v>
      </c>
      <c r="N50" s="2">
        <v>4.8413900000000001E-3</v>
      </c>
      <c r="O50">
        <f t="shared" si="23"/>
        <v>-3.7178022831395265E-5</v>
      </c>
      <c r="P50" s="3"/>
      <c r="Q50" s="3"/>
      <c r="R50" s="3"/>
      <c r="S50" s="3"/>
    </row>
    <row r="51" spans="1:19" x14ac:dyDescent="0.2">
      <c r="A51" t="s">
        <v>10</v>
      </c>
      <c r="B51" t="s">
        <v>9</v>
      </c>
      <c r="C51">
        <v>100</v>
      </c>
      <c r="D51" s="2">
        <v>4448515</v>
      </c>
      <c r="E51">
        <f t="shared" si="18"/>
        <v>1.4746566274349501E-2</v>
      </c>
      <c r="F51" s="2">
        <v>15.351699999999999</v>
      </c>
      <c r="G51">
        <f t="shared" si="19"/>
        <v>5.1486593933701896E-4</v>
      </c>
      <c r="H51" s="2">
        <v>6.1177200000000001E-2</v>
      </c>
      <c r="I51">
        <f t="shared" si="20"/>
        <v>-8.1128170312983458E-2</v>
      </c>
      <c r="J51" s="2">
        <v>5.8692500000000002E-2</v>
      </c>
      <c r="K51">
        <f t="shared" si="21"/>
        <v>-6.6443597903808834E-5</v>
      </c>
      <c r="L51" s="2">
        <v>4.8046E-3</v>
      </c>
      <c r="M51">
        <f t="shared" si="22"/>
        <v>-4.4343141317862433E-3</v>
      </c>
      <c r="N51" s="2">
        <v>4.7935599999999997E-3</v>
      </c>
      <c r="O51">
        <f t="shared" si="23"/>
        <v>-4.1722470472483159E-6</v>
      </c>
      <c r="P51" s="3"/>
      <c r="Q51" s="3"/>
      <c r="R51" s="3"/>
      <c r="S51" s="3"/>
    </row>
    <row r="52" spans="1:19" x14ac:dyDescent="0.2">
      <c r="A52" t="s">
        <v>11</v>
      </c>
      <c r="B52" t="s">
        <v>5</v>
      </c>
      <c r="C52">
        <v>100</v>
      </c>
      <c r="D52">
        <v>4394728</v>
      </c>
      <c r="E52">
        <v>0</v>
      </c>
      <c r="F52" s="2">
        <v>15.371499999999999</v>
      </c>
      <c r="G52">
        <v>0</v>
      </c>
      <c r="H52" s="2">
        <v>5.3527499999999999E-2</v>
      </c>
      <c r="I52">
        <v>0</v>
      </c>
      <c r="J52" s="2">
        <v>4.5881600000000002E-2</v>
      </c>
      <c r="K52">
        <v>0</v>
      </c>
      <c r="L52" s="2">
        <v>4.83455E-3</v>
      </c>
      <c r="M52">
        <v>0</v>
      </c>
      <c r="N52" s="2">
        <v>4.8503499999999998E-3</v>
      </c>
      <c r="O52">
        <v>0</v>
      </c>
      <c r="P52" s="3">
        <v>0.859398</v>
      </c>
      <c r="Q52" s="1">
        <f>(143843-127636)/143843</f>
        <v>0.11267145429391767</v>
      </c>
      <c r="R52" s="3" t="s">
        <v>37</v>
      </c>
      <c r="S52" s="3" t="s">
        <v>38</v>
      </c>
    </row>
    <row r="53" spans="1:19" x14ac:dyDescent="0.2">
      <c r="A53" t="s">
        <v>11</v>
      </c>
      <c r="B53" t="s">
        <v>5</v>
      </c>
      <c r="C53">
        <v>100</v>
      </c>
      <c r="D53" s="2">
        <v>4395851</v>
      </c>
      <c r="E53">
        <v>0</v>
      </c>
      <c r="F53" s="2">
        <v>15.368499999999999</v>
      </c>
      <c r="G53">
        <v>0</v>
      </c>
      <c r="H53" s="2">
        <v>5.4081900000000002E-2</v>
      </c>
      <c r="I53">
        <v>0</v>
      </c>
      <c r="J53" s="2">
        <v>4.6173800000000001E-2</v>
      </c>
      <c r="K53">
        <v>0</v>
      </c>
      <c r="L53" s="2">
        <v>4.9135799999999999E-3</v>
      </c>
      <c r="M53">
        <v>0</v>
      </c>
      <c r="N53" s="2">
        <v>4.8895299999999996E-3</v>
      </c>
      <c r="O53">
        <v>0</v>
      </c>
      <c r="P53" s="3"/>
      <c r="Q53" s="1"/>
      <c r="R53" s="3"/>
      <c r="S53" s="3"/>
    </row>
    <row r="54" spans="1:19" x14ac:dyDescent="0.2">
      <c r="A54" t="s">
        <v>11</v>
      </c>
      <c r="B54" t="s">
        <v>5</v>
      </c>
      <c r="C54">
        <v>100</v>
      </c>
      <c r="D54" s="2">
        <v>4397515</v>
      </c>
      <c r="E54">
        <v>0</v>
      </c>
      <c r="F54" s="2">
        <v>15.372199999999999</v>
      </c>
      <c r="G54">
        <v>0</v>
      </c>
      <c r="H54" s="2">
        <v>5.4219099999999999E-2</v>
      </c>
      <c r="I54">
        <v>0</v>
      </c>
      <c r="J54" s="2">
        <v>4.6427999999999997E-2</v>
      </c>
      <c r="K54">
        <v>0</v>
      </c>
      <c r="L54" s="2">
        <v>4.8833799999999997E-3</v>
      </c>
      <c r="M54">
        <v>0</v>
      </c>
      <c r="N54" s="2">
        <v>4.8665599999999998E-3</v>
      </c>
      <c r="O54">
        <v>0</v>
      </c>
      <c r="P54" s="3"/>
      <c r="Q54" s="1"/>
      <c r="R54" s="3"/>
      <c r="S54" s="3"/>
    </row>
    <row r="55" spans="1:19" x14ac:dyDescent="0.2">
      <c r="A55" t="s">
        <v>11</v>
      </c>
      <c r="B55" t="s">
        <v>5</v>
      </c>
      <c r="C55">
        <v>100</v>
      </c>
      <c r="D55" s="2">
        <v>4397793</v>
      </c>
      <c r="E55">
        <v>0</v>
      </c>
      <c r="F55" s="2">
        <v>15.371499999999999</v>
      </c>
      <c r="G55">
        <v>0</v>
      </c>
      <c r="H55" s="2">
        <v>5.6894E-2</v>
      </c>
      <c r="I55">
        <v>0</v>
      </c>
      <c r="J55" s="2">
        <v>4.6702800000000003E-2</v>
      </c>
      <c r="K55">
        <v>0</v>
      </c>
      <c r="L55" s="2">
        <v>4.93386E-3</v>
      </c>
      <c r="M55">
        <v>0</v>
      </c>
      <c r="N55" s="2">
        <v>4.8803900000000001E-3</v>
      </c>
      <c r="O55">
        <v>0</v>
      </c>
      <c r="P55" s="3"/>
      <c r="Q55" s="1"/>
      <c r="R55" s="3"/>
      <c r="S55" s="3"/>
    </row>
    <row r="56" spans="1:19" x14ac:dyDescent="0.2">
      <c r="A56" t="s">
        <v>11</v>
      </c>
      <c r="B56" t="s">
        <v>5</v>
      </c>
      <c r="C56">
        <v>100</v>
      </c>
      <c r="D56" s="2">
        <v>4397242</v>
      </c>
      <c r="E56">
        <v>0</v>
      </c>
      <c r="F56" s="2">
        <v>15.379300000000001</v>
      </c>
      <c r="G56">
        <v>0</v>
      </c>
      <c r="H56" s="2">
        <v>5.46349E-2</v>
      </c>
      <c r="I56">
        <v>0</v>
      </c>
      <c r="J56" s="2">
        <v>4.6781700000000002E-2</v>
      </c>
      <c r="K56">
        <v>0</v>
      </c>
      <c r="L56" s="2">
        <v>4.8553199999999998E-3</v>
      </c>
      <c r="M56">
        <v>0</v>
      </c>
      <c r="N56" s="2">
        <v>4.84594E-3</v>
      </c>
      <c r="O56">
        <v>0</v>
      </c>
      <c r="P56" s="3"/>
      <c r="Q56" s="1"/>
      <c r="R56" s="3"/>
      <c r="S56" s="3"/>
    </row>
    <row r="57" spans="1:19" x14ac:dyDescent="0.2">
      <c r="A57" t="s">
        <v>11</v>
      </c>
      <c r="B57" t="s">
        <v>5</v>
      </c>
      <c r="C57">
        <v>100</v>
      </c>
      <c r="D57" s="2">
        <v>4396445</v>
      </c>
      <c r="E57">
        <v>0</v>
      </c>
      <c r="F57" s="2">
        <v>15.3705</v>
      </c>
      <c r="G57">
        <v>0</v>
      </c>
      <c r="H57" s="2">
        <v>5.7158399999999998E-2</v>
      </c>
      <c r="I57">
        <v>0</v>
      </c>
      <c r="J57" s="2">
        <v>4.6841000000000001E-2</v>
      </c>
      <c r="K57">
        <v>0</v>
      </c>
      <c r="L57" s="2">
        <v>4.9581399999999998E-3</v>
      </c>
      <c r="M57">
        <v>0</v>
      </c>
      <c r="N57" s="2">
        <v>4.8626700000000004E-3</v>
      </c>
      <c r="O57">
        <v>0</v>
      </c>
      <c r="P57" s="3"/>
      <c r="Q57" s="1"/>
      <c r="R57" s="3"/>
      <c r="S57" s="3"/>
    </row>
    <row r="58" spans="1:19" x14ac:dyDescent="0.2">
      <c r="A58" t="s">
        <v>11</v>
      </c>
      <c r="B58" t="s">
        <v>5</v>
      </c>
      <c r="C58">
        <v>100</v>
      </c>
      <c r="D58" s="2">
        <v>4398576</v>
      </c>
      <c r="E58">
        <v>0</v>
      </c>
      <c r="F58" s="2">
        <v>15.380100000000001</v>
      </c>
      <c r="G58">
        <v>0</v>
      </c>
      <c r="H58" s="2">
        <v>5.4310700000000003E-2</v>
      </c>
      <c r="I58">
        <v>0</v>
      </c>
      <c r="J58" s="2">
        <v>4.6048199999999997E-2</v>
      </c>
      <c r="K58">
        <v>0</v>
      </c>
      <c r="L58" s="2">
        <v>4.8332699999999998E-3</v>
      </c>
      <c r="M58">
        <v>0</v>
      </c>
      <c r="N58" s="2">
        <v>4.8609100000000004E-3</v>
      </c>
      <c r="O58">
        <v>0</v>
      </c>
      <c r="P58" s="3"/>
      <c r="Q58" s="1"/>
      <c r="R58" s="3"/>
      <c r="S58" s="3"/>
    </row>
    <row r="59" spans="1:19" x14ac:dyDescent="0.2">
      <c r="A59" t="s">
        <v>11</v>
      </c>
      <c r="B59" t="s">
        <v>5</v>
      </c>
      <c r="C59">
        <v>100</v>
      </c>
      <c r="D59" s="2">
        <v>4397098</v>
      </c>
      <c r="E59">
        <v>0</v>
      </c>
      <c r="F59" s="2">
        <v>15.375299999999999</v>
      </c>
      <c r="G59">
        <v>0</v>
      </c>
      <c r="H59" s="2">
        <v>5.3784999999999999E-2</v>
      </c>
      <c r="I59">
        <v>0</v>
      </c>
      <c r="J59" s="2">
        <v>4.5645100000000001E-2</v>
      </c>
      <c r="K59">
        <v>0</v>
      </c>
      <c r="L59" s="2">
        <v>4.87763E-3</v>
      </c>
      <c r="M59">
        <v>0</v>
      </c>
      <c r="N59" s="2">
        <v>4.8544299999999999E-3</v>
      </c>
      <c r="O59">
        <v>0</v>
      </c>
      <c r="P59" s="3"/>
      <c r="Q59" s="1"/>
      <c r="R59" s="3"/>
      <c r="S59" s="3"/>
    </row>
    <row r="60" spans="1:19" x14ac:dyDescent="0.2">
      <c r="A60" t="s">
        <v>11</v>
      </c>
      <c r="B60" t="s">
        <v>5</v>
      </c>
      <c r="C60">
        <v>100</v>
      </c>
      <c r="D60" s="2">
        <v>4396907</v>
      </c>
      <c r="E60">
        <v>0</v>
      </c>
      <c r="F60" s="2">
        <v>15.374599999999999</v>
      </c>
      <c r="G60">
        <v>0</v>
      </c>
      <c r="H60" s="2">
        <v>5.4444300000000001E-2</v>
      </c>
      <c r="I60">
        <v>0</v>
      </c>
      <c r="J60" s="2">
        <v>4.5998900000000002E-2</v>
      </c>
      <c r="K60">
        <v>0</v>
      </c>
      <c r="L60" s="2">
        <v>4.8775199999999998E-3</v>
      </c>
      <c r="M60">
        <v>0</v>
      </c>
      <c r="N60" s="2">
        <v>4.9009099999999996E-3</v>
      </c>
      <c r="O60">
        <v>0</v>
      </c>
      <c r="P60" s="3"/>
      <c r="Q60" s="1"/>
      <c r="R60" s="3"/>
      <c r="S60" s="3"/>
    </row>
    <row r="61" spans="1:19" x14ac:dyDescent="0.2">
      <c r="A61" t="s">
        <v>11</v>
      </c>
      <c r="B61" t="s">
        <v>5</v>
      </c>
      <c r="C61">
        <v>100</v>
      </c>
      <c r="D61" s="2">
        <v>4396775</v>
      </c>
      <c r="E61">
        <v>0</v>
      </c>
      <c r="F61" s="2">
        <v>15.374599999999999</v>
      </c>
      <c r="G61">
        <v>0</v>
      </c>
      <c r="H61" s="2">
        <v>5.3576400000000003E-2</v>
      </c>
      <c r="I61">
        <v>0</v>
      </c>
      <c r="J61" s="2">
        <v>4.5930499999999999E-2</v>
      </c>
      <c r="K61">
        <v>0</v>
      </c>
      <c r="L61" s="2">
        <v>4.9018300000000002E-3</v>
      </c>
      <c r="M61">
        <v>0</v>
      </c>
      <c r="N61" s="2">
        <v>4.8770100000000002E-3</v>
      </c>
      <c r="O61">
        <v>0</v>
      </c>
      <c r="P61" s="3"/>
      <c r="Q61" s="1"/>
      <c r="R61" s="3"/>
      <c r="S61" s="3"/>
    </row>
    <row r="62" spans="1:19" x14ac:dyDescent="0.2">
      <c r="A62" t="s">
        <v>11</v>
      </c>
      <c r="B62" t="s">
        <v>6</v>
      </c>
      <c r="C62">
        <v>100</v>
      </c>
      <c r="D62">
        <v>4394642</v>
      </c>
      <c r="E62">
        <f t="shared" ref="E62:E71" si="24">(D62-D52)/D52</f>
        <v>-1.95689016476105E-5</v>
      </c>
      <c r="F62">
        <v>15.3714</v>
      </c>
      <c r="G62">
        <f t="shared" ref="G62:G71" si="25">(F62-F52)/F52</f>
        <v>-6.5055459779310375E-6</v>
      </c>
      <c r="H62" s="2">
        <v>5.3525900000000001E-2</v>
      </c>
      <c r="I62">
        <f t="shared" ref="I62:I71" si="26">(H62-H52)/H52</f>
        <v>-2.9891177432113153E-5</v>
      </c>
      <c r="J62" s="2">
        <v>4.5880799999999999E-2</v>
      </c>
      <c r="K62">
        <f>(J62-J52)/J52</f>
        <v>-1.7436183568188289E-5</v>
      </c>
      <c r="L62" s="2">
        <v>4.83454E-3</v>
      </c>
      <c r="M62">
        <f t="shared" ref="M62:M71" si="27">(L62-L52)/L52</f>
        <v>-2.0684448397349519E-6</v>
      </c>
      <c r="N62" s="2">
        <v>4.8503499999999998E-3</v>
      </c>
      <c r="O62">
        <f t="shared" ref="O62:O71" si="28">(N62-N52)/N52</f>
        <v>0</v>
      </c>
      <c r="P62" s="3">
        <v>0.85936800000000002</v>
      </c>
      <c r="Q62" s="3">
        <v>0.1022</v>
      </c>
      <c r="R62" s="3" t="s">
        <v>39</v>
      </c>
      <c r="S62" s="3" t="s">
        <v>38</v>
      </c>
    </row>
    <row r="63" spans="1:19" x14ac:dyDescent="0.2">
      <c r="A63" t="s">
        <v>11</v>
      </c>
      <c r="B63" t="s">
        <v>6</v>
      </c>
      <c r="C63">
        <v>100</v>
      </c>
      <c r="D63" s="2">
        <v>4395815</v>
      </c>
      <c r="E63">
        <f t="shared" si="24"/>
        <v>-8.1895405463015018E-6</v>
      </c>
      <c r="F63" s="2">
        <v>15.368499999999999</v>
      </c>
      <c r="G63">
        <f t="shared" si="25"/>
        <v>0</v>
      </c>
      <c r="H63" s="2">
        <v>5.4074200000000003E-2</v>
      </c>
      <c r="I63">
        <f t="shared" si="26"/>
        <v>-1.4237665466633706E-4</v>
      </c>
      <c r="J63" s="2">
        <v>4.6166899999999997E-2</v>
      </c>
      <c r="K63">
        <f>(J63-J53)/J53</f>
        <v>-1.4943539409804099E-4</v>
      </c>
      <c r="L63" s="2">
        <v>4.9131799999999996E-3</v>
      </c>
      <c r="M63">
        <f t="shared" si="27"/>
        <v>-8.1407039266731497E-5</v>
      </c>
      <c r="N63" s="2">
        <v>4.8893499999999998E-3</v>
      </c>
      <c r="O63">
        <f t="shared" si="28"/>
        <v>-3.6813354248731147E-5</v>
      </c>
      <c r="P63" s="3"/>
      <c r="Q63" s="3"/>
      <c r="R63" s="3"/>
      <c r="S63" s="3"/>
    </row>
    <row r="64" spans="1:19" x14ac:dyDescent="0.2">
      <c r="A64" t="s">
        <v>11</v>
      </c>
      <c r="B64" t="s">
        <v>6</v>
      </c>
      <c r="C64">
        <v>100</v>
      </c>
      <c r="D64" s="2">
        <v>4397449</v>
      </c>
      <c r="E64">
        <f t="shared" si="24"/>
        <v>-1.5008476378136288E-5</v>
      </c>
      <c r="F64" s="2">
        <v>15.372199999999999</v>
      </c>
      <c r="G64">
        <f t="shared" si="25"/>
        <v>0</v>
      </c>
      <c r="H64" s="2">
        <v>5.4215399999999997E-2</v>
      </c>
      <c r="I64">
        <f t="shared" si="26"/>
        <v>-6.824163440563035E-5</v>
      </c>
      <c r="J64" s="2">
        <v>4.6426500000000002E-2</v>
      </c>
      <c r="K64">
        <f>(J64-J54)/J54</f>
        <v>-3.2308089945605268E-5</v>
      </c>
      <c r="L64" s="2">
        <v>4.8837200000000002E-3</v>
      </c>
      <c r="M64">
        <f t="shared" si="27"/>
        <v>6.9623908031032385E-5</v>
      </c>
      <c r="N64" s="2">
        <v>4.8666899999999999E-3</v>
      </c>
      <c r="O64">
        <f t="shared" si="28"/>
        <v>2.6712914255674504E-5</v>
      </c>
      <c r="P64" s="3"/>
      <c r="Q64" s="3"/>
      <c r="R64" s="3"/>
      <c r="S64" s="3"/>
    </row>
    <row r="65" spans="1:19" x14ac:dyDescent="0.2">
      <c r="A65" t="s">
        <v>11</v>
      </c>
      <c r="B65" t="s">
        <v>6</v>
      </c>
      <c r="C65">
        <v>100</v>
      </c>
      <c r="D65" s="2">
        <v>4397724</v>
      </c>
      <c r="E65">
        <f t="shared" si="24"/>
        <v>-1.5689687986678774E-5</v>
      </c>
      <c r="F65" s="2">
        <v>15.371499999999999</v>
      </c>
      <c r="G65">
        <f t="shared" si="25"/>
        <v>0</v>
      </c>
      <c r="H65" s="2">
        <v>5.4305399999999997E-2</v>
      </c>
      <c r="I65">
        <f t="shared" si="26"/>
        <v>-4.5498646605969056E-2</v>
      </c>
      <c r="J65" s="2">
        <v>4.6703000000000001E-2</v>
      </c>
      <c r="K65">
        <f>(J65-J55)/J55</f>
        <v>4.2823984857184629E-6</v>
      </c>
      <c r="L65" s="2">
        <v>4.88172E-3</v>
      </c>
      <c r="M65">
        <f t="shared" si="27"/>
        <v>-1.0567790735853875E-2</v>
      </c>
      <c r="N65" s="2">
        <v>4.8803900000000001E-3</v>
      </c>
      <c r="O65">
        <f t="shared" si="28"/>
        <v>0</v>
      </c>
      <c r="P65" s="3"/>
      <c r="Q65" s="3"/>
      <c r="R65" s="3"/>
      <c r="S65" s="3"/>
    </row>
    <row r="66" spans="1:19" x14ac:dyDescent="0.2">
      <c r="A66" t="s">
        <v>11</v>
      </c>
      <c r="B66" t="s">
        <v>6</v>
      </c>
      <c r="C66">
        <v>100</v>
      </c>
      <c r="D66" s="2">
        <v>4397189</v>
      </c>
      <c r="E66">
        <f t="shared" si="24"/>
        <v>-1.2053009591011821E-5</v>
      </c>
      <c r="F66" s="2">
        <v>15.379300000000001</v>
      </c>
      <c r="G66">
        <f t="shared" si="25"/>
        <v>0</v>
      </c>
      <c r="H66" s="2">
        <v>5.4627500000000002E-2</v>
      </c>
      <c r="I66">
        <f t="shared" si="26"/>
        <v>-1.3544456016205183E-4</v>
      </c>
      <c r="J66" s="2">
        <v>4.6779000000000001E-2</v>
      </c>
      <c r="K66">
        <f>(J66-J56)/J56</f>
        <v>-5.7714875688598582E-5</v>
      </c>
      <c r="L66" s="2">
        <v>4.85528E-3</v>
      </c>
      <c r="M66">
        <f t="shared" si="27"/>
        <v>-8.2383859353786052E-6</v>
      </c>
      <c r="N66" s="2">
        <v>4.8458900000000003E-3</v>
      </c>
      <c r="O66">
        <f t="shared" si="28"/>
        <v>-1.031791561589765E-5</v>
      </c>
      <c r="P66" s="3"/>
      <c r="Q66" s="3"/>
      <c r="R66" s="3"/>
      <c r="S66" s="3"/>
    </row>
    <row r="67" spans="1:19" x14ac:dyDescent="0.2">
      <c r="A67" t="s">
        <v>11</v>
      </c>
      <c r="B67" t="s">
        <v>6</v>
      </c>
      <c r="C67">
        <v>100</v>
      </c>
      <c r="D67" s="2">
        <v>4396380</v>
      </c>
      <c r="E67">
        <f t="shared" si="24"/>
        <v>-1.4784672616170564E-5</v>
      </c>
      <c r="F67" s="2">
        <v>15.3705</v>
      </c>
      <c r="G67">
        <f t="shared" si="25"/>
        <v>0</v>
      </c>
      <c r="H67" s="2">
        <v>5.5158400000000003E-2</v>
      </c>
      <c r="I67">
        <f t="shared" si="26"/>
        <v>-3.4990482588735772E-2</v>
      </c>
      <c r="J67" s="2">
        <v>4.6540999999999999E-2</v>
      </c>
      <c r="K67">
        <f>(J68-J57)/J57</f>
        <v>-1.8646057940693055E-2</v>
      </c>
      <c r="L67" s="2">
        <v>4.9579899999999998E-3</v>
      </c>
      <c r="M67">
        <f t="shared" si="27"/>
        <v>-3.0253280464040254E-5</v>
      </c>
      <c r="N67" s="2">
        <v>4.8625999999999999E-3</v>
      </c>
      <c r="O67">
        <f t="shared" si="28"/>
        <v>-1.4395383606218732E-5</v>
      </c>
      <c r="P67" s="3"/>
      <c r="Q67" s="3"/>
      <c r="R67" s="3"/>
      <c r="S67" s="3"/>
    </row>
    <row r="68" spans="1:19" x14ac:dyDescent="0.2">
      <c r="A68" t="s">
        <v>11</v>
      </c>
      <c r="B68" t="s">
        <v>6</v>
      </c>
      <c r="C68">
        <v>100</v>
      </c>
      <c r="D68" s="2">
        <v>4398538</v>
      </c>
      <c r="E68">
        <f t="shared" si="24"/>
        <v>-8.6391595825558081E-6</v>
      </c>
      <c r="F68" s="2">
        <v>15.380100000000001</v>
      </c>
      <c r="G68">
        <f t="shared" si="25"/>
        <v>0</v>
      </c>
      <c r="H68" s="2">
        <v>5.4307000000000001E-2</v>
      </c>
      <c r="I68">
        <f t="shared" si="26"/>
        <v>-6.8126538601091723E-5</v>
      </c>
      <c r="J68" s="2">
        <v>4.5967599999999997E-2</v>
      </c>
      <c r="K68">
        <f>(J68-J58)/J58</f>
        <v>-1.7503398612757962E-3</v>
      </c>
      <c r="L68" s="2">
        <v>4.8329200000000001E-3</v>
      </c>
      <c r="M68">
        <f t="shared" si="27"/>
        <v>-7.2414741986203166E-5</v>
      </c>
      <c r="N68" s="2">
        <v>4.79686E-3</v>
      </c>
      <c r="O68">
        <f t="shared" si="28"/>
        <v>-1.3176545132495847E-2</v>
      </c>
      <c r="P68" s="3"/>
      <c r="Q68" s="3"/>
      <c r="R68" s="3"/>
      <c r="S68" s="3"/>
    </row>
    <row r="69" spans="1:19" x14ac:dyDescent="0.2">
      <c r="A69" t="s">
        <v>11</v>
      </c>
      <c r="B69" t="s">
        <v>6</v>
      </c>
      <c r="C69">
        <v>100</v>
      </c>
      <c r="D69" s="2">
        <v>4397032</v>
      </c>
      <c r="E69">
        <f t="shared" si="24"/>
        <v>-1.5009899711127657E-5</v>
      </c>
      <c r="F69" s="2">
        <v>15.375299999999999</v>
      </c>
      <c r="G69">
        <f t="shared" si="25"/>
        <v>0</v>
      </c>
      <c r="H69" s="2">
        <v>5.37826E-2</v>
      </c>
      <c r="I69">
        <f t="shared" si="26"/>
        <v>-4.4622106535272372E-5</v>
      </c>
      <c r="J69" s="2">
        <v>4.5644200000000003E-2</v>
      </c>
      <c r="K69">
        <f>(J69-J59)/J59</f>
        <v>-1.9717340963172926E-5</v>
      </c>
      <c r="L69" s="2">
        <v>4.87762E-3</v>
      </c>
      <c r="M69">
        <f t="shared" si="27"/>
        <v>-2.0501760075980779E-6</v>
      </c>
      <c r="N69" s="2">
        <v>4.8544299999999999E-3</v>
      </c>
      <c r="O69">
        <f t="shared" si="28"/>
        <v>0</v>
      </c>
      <c r="P69" s="3"/>
      <c r="Q69" s="3"/>
      <c r="R69" s="3"/>
      <c r="S69" s="3"/>
    </row>
    <row r="70" spans="1:19" x14ac:dyDescent="0.2">
      <c r="A70" t="s">
        <v>11</v>
      </c>
      <c r="B70" t="s">
        <v>6</v>
      </c>
      <c r="C70">
        <v>100</v>
      </c>
      <c r="D70" s="2">
        <v>4396868</v>
      </c>
      <c r="E70">
        <f t="shared" si="24"/>
        <v>-8.8698714801109057E-6</v>
      </c>
      <c r="F70" s="2">
        <v>15.374499999999999</v>
      </c>
      <c r="G70">
        <f t="shared" si="25"/>
        <v>-6.5042342564858235E-6</v>
      </c>
      <c r="H70" s="2">
        <v>5.4443499999999999E-2</v>
      </c>
      <c r="I70">
        <f t="shared" si="26"/>
        <v>-1.4693916534920787E-5</v>
      </c>
      <c r="J70" s="2">
        <v>4.5994300000000002E-2</v>
      </c>
      <c r="K70">
        <f>(J70-J60)/J60</f>
        <v>-1.0000239136154206E-4</v>
      </c>
      <c r="L70" s="2">
        <v>4.8775199999999998E-3</v>
      </c>
      <c r="M70">
        <f t="shared" si="27"/>
        <v>0</v>
      </c>
      <c r="N70" s="2">
        <v>4.9010299999999998E-3</v>
      </c>
      <c r="O70">
        <f t="shared" si="28"/>
        <v>2.4485248657933877E-5</v>
      </c>
      <c r="P70" s="3"/>
      <c r="Q70" s="3"/>
      <c r="R70" s="3"/>
      <c r="S70" s="3"/>
    </row>
    <row r="71" spans="1:19" x14ac:dyDescent="0.2">
      <c r="A71" t="s">
        <v>11</v>
      </c>
      <c r="B71" t="s">
        <v>6</v>
      </c>
      <c r="C71">
        <v>100</v>
      </c>
      <c r="D71" s="2">
        <v>4396710</v>
      </c>
      <c r="E71">
        <f t="shared" si="24"/>
        <v>-1.4783562952391242E-5</v>
      </c>
      <c r="F71" s="2">
        <v>15.374599999999999</v>
      </c>
      <c r="G71">
        <f t="shared" si="25"/>
        <v>0</v>
      </c>
      <c r="H71" s="2">
        <v>5.3576400000000003E-2</v>
      </c>
      <c r="I71">
        <f t="shared" si="26"/>
        <v>0</v>
      </c>
      <c r="J71" s="2">
        <v>4.5930600000000002E-2</v>
      </c>
      <c r="K71">
        <f>(J71-J61)/J61</f>
        <v>2.1772025125543063E-6</v>
      </c>
      <c r="L71" s="2">
        <v>4.9018300000000002E-3</v>
      </c>
      <c r="M71">
        <f t="shared" si="27"/>
        <v>0</v>
      </c>
      <c r="N71" s="2">
        <v>4.8770100000000002E-3</v>
      </c>
      <c r="O71">
        <f t="shared" si="28"/>
        <v>0</v>
      </c>
      <c r="P71" s="3"/>
      <c r="Q71" s="3"/>
      <c r="R71" s="3"/>
      <c r="S71" s="3"/>
    </row>
    <row r="72" spans="1:19" x14ac:dyDescent="0.2">
      <c r="A72" t="s">
        <v>11</v>
      </c>
      <c r="B72" t="s">
        <v>7</v>
      </c>
      <c r="C72">
        <v>100</v>
      </c>
      <c r="D72">
        <v>4394566</v>
      </c>
      <c r="E72">
        <f t="shared" ref="E72:E81" si="29">(D72-D52)/D52</f>
        <v>-3.686234961526629E-5</v>
      </c>
      <c r="F72" s="2">
        <v>15.3714</v>
      </c>
      <c r="G72">
        <f t="shared" ref="G72:G81" si="30">(F72-F52)/F52</f>
        <v>-6.5055459779310375E-6</v>
      </c>
      <c r="H72" s="2">
        <v>5.3515300000000002E-2</v>
      </c>
      <c r="I72">
        <f t="shared" ref="I72:I81" si="31">(H72-H52)/H52</f>
        <v>-2.2792022792017067E-4</v>
      </c>
      <c r="J72" s="2">
        <v>4.5876699999999999E-2</v>
      </c>
      <c r="K72">
        <f t="shared" ref="K72:K81" si="32">(J72-J52)/J52</f>
        <v>-1.0679662435490752E-4</v>
      </c>
      <c r="L72" s="2">
        <v>4.83484E-3</v>
      </c>
      <c r="M72">
        <f t="shared" ref="M72:M81" si="33">(L72-L52)/L52</f>
        <v>5.9984900352672422E-5</v>
      </c>
      <c r="N72" s="2">
        <v>4.85047E-3</v>
      </c>
      <c r="O72">
        <f t="shared" ref="O72:O81" si="34">(N72-N52)/N52</f>
        <v>2.4740482645614173E-5</v>
      </c>
      <c r="P72" s="3">
        <v>0.85934200000000005</v>
      </c>
      <c r="Q72" s="3">
        <v>9.6799999999999997E-2</v>
      </c>
      <c r="R72" s="3" t="s">
        <v>40</v>
      </c>
      <c r="S72" s="3" t="s">
        <v>38</v>
      </c>
    </row>
    <row r="73" spans="1:19" x14ac:dyDescent="0.2">
      <c r="A73" t="s">
        <v>11</v>
      </c>
      <c r="B73" t="s">
        <v>7</v>
      </c>
      <c r="C73">
        <v>100</v>
      </c>
      <c r="D73" s="2">
        <v>4395729</v>
      </c>
      <c r="E73">
        <f t="shared" si="29"/>
        <v>-2.7753442962466197E-5</v>
      </c>
      <c r="F73" s="2">
        <v>15.368499999999999</v>
      </c>
      <c r="G73">
        <f t="shared" si="30"/>
        <v>0</v>
      </c>
      <c r="H73" s="2">
        <v>5.4072599999999998E-2</v>
      </c>
      <c r="I73">
        <f t="shared" si="31"/>
        <v>-1.7196141407760729E-4</v>
      </c>
      <c r="J73" s="2">
        <v>4.6166199999999998E-2</v>
      </c>
      <c r="K73">
        <f t="shared" si="32"/>
        <v>-1.6459550654274584E-4</v>
      </c>
      <c r="L73" s="2">
        <v>4.9135300000000002E-3</v>
      </c>
      <c r="M73">
        <f t="shared" si="33"/>
        <v>-1.0175879908275241E-5</v>
      </c>
      <c r="N73" s="2">
        <v>4.8894899999999998E-3</v>
      </c>
      <c r="O73">
        <f t="shared" si="34"/>
        <v>-8.1807453885675004E-6</v>
      </c>
      <c r="P73" s="3"/>
      <c r="Q73" s="3"/>
      <c r="R73" s="3"/>
      <c r="S73" s="3"/>
    </row>
    <row r="74" spans="1:19" x14ac:dyDescent="0.2">
      <c r="A74" t="s">
        <v>11</v>
      </c>
      <c r="B74" t="s">
        <v>7</v>
      </c>
      <c r="C74">
        <v>100</v>
      </c>
      <c r="D74" s="2">
        <v>4397376</v>
      </c>
      <c r="E74">
        <f t="shared" si="29"/>
        <v>-3.1608760856984004E-5</v>
      </c>
      <c r="F74" s="2">
        <v>15.3721</v>
      </c>
      <c r="G74">
        <f t="shared" si="30"/>
        <v>-6.5052497365222246E-6</v>
      </c>
      <c r="H74" s="2">
        <v>5.4215699999999999E-2</v>
      </c>
      <c r="I74">
        <f t="shared" si="31"/>
        <v>-6.2708528913254269E-5</v>
      </c>
      <c r="J74" s="2">
        <v>4.64264E-2</v>
      </c>
      <c r="K74">
        <f t="shared" si="32"/>
        <v>-3.4461962608715361E-5</v>
      </c>
      <c r="L74" s="2">
        <v>4.8833699999999997E-3</v>
      </c>
      <c r="M74">
        <f t="shared" si="33"/>
        <v>-2.0477620008970451E-6</v>
      </c>
      <c r="N74" s="2">
        <v>4.8665499999999999E-3</v>
      </c>
      <c r="O74">
        <f t="shared" si="34"/>
        <v>-2.0548395581150982E-6</v>
      </c>
      <c r="P74" s="3"/>
      <c r="Q74" s="3"/>
      <c r="R74" s="3"/>
      <c r="S74" s="3"/>
    </row>
    <row r="75" spans="1:19" x14ac:dyDescent="0.2">
      <c r="A75" t="s">
        <v>11</v>
      </c>
      <c r="B75" t="s">
        <v>7</v>
      </c>
      <c r="C75">
        <v>100</v>
      </c>
      <c r="D75" s="2">
        <v>4397701</v>
      </c>
      <c r="E75">
        <f t="shared" si="29"/>
        <v>-2.0919583982238365E-5</v>
      </c>
      <c r="F75" s="2">
        <v>15.371499999999999</v>
      </c>
      <c r="G75">
        <f t="shared" si="30"/>
        <v>0</v>
      </c>
      <c r="H75" s="2">
        <v>5.4316299999999998E-2</v>
      </c>
      <c r="I75">
        <f t="shared" si="31"/>
        <v>-4.5307062256125463E-2</v>
      </c>
      <c r="J75" s="2">
        <v>4.6707199999999997E-2</v>
      </c>
      <c r="K75">
        <f t="shared" si="32"/>
        <v>9.4212766686251905E-5</v>
      </c>
      <c r="L75" s="2">
        <v>4.8817799999999996E-3</v>
      </c>
      <c r="M75">
        <f t="shared" si="33"/>
        <v>-1.0555629871946175E-2</v>
      </c>
      <c r="N75" s="2">
        <v>4.88041E-3</v>
      </c>
      <c r="O75">
        <f t="shared" si="34"/>
        <v>4.0980331489658047E-6</v>
      </c>
      <c r="P75" s="3"/>
      <c r="Q75" s="3"/>
      <c r="R75" s="3"/>
      <c r="S75" s="3"/>
    </row>
    <row r="76" spans="1:19" x14ac:dyDescent="0.2">
      <c r="A76" t="s">
        <v>11</v>
      </c>
      <c r="B76" t="s">
        <v>7</v>
      </c>
      <c r="C76">
        <v>100</v>
      </c>
      <c r="D76" s="2">
        <v>4397120</v>
      </c>
      <c r="E76">
        <f t="shared" si="29"/>
        <v>-2.7744663586857397E-5</v>
      </c>
      <c r="F76" s="2">
        <v>15.379300000000001</v>
      </c>
      <c r="G76">
        <f t="shared" si="30"/>
        <v>0</v>
      </c>
      <c r="H76" s="2">
        <v>5.4629900000000002E-2</v>
      </c>
      <c r="I76">
        <f t="shared" si="31"/>
        <v>-9.1516594704082213E-5</v>
      </c>
      <c r="J76" s="2">
        <v>4.6787500000000003E-2</v>
      </c>
      <c r="K76">
        <f t="shared" si="32"/>
        <v>1.239801033310087E-4</v>
      </c>
      <c r="L76" s="2">
        <v>4.8549400000000003E-3</v>
      </c>
      <c r="M76">
        <f t="shared" si="33"/>
        <v>-7.8264666386454029E-5</v>
      </c>
      <c r="N76" s="2">
        <v>4.8458199999999998E-3</v>
      </c>
      <c r="O76">
        <f t="shared" si="34"/>
        <v>-2.4762997478333348E-5</v>
      </c>
      <c r="P76" s="3"/>
      <c r="Q76" s="3"/>
      <c r="R76" s="3"/>
      <c r="S76" s="3"/>
    </row>
    <row r="77" spans="1:19" x14ac:dyDescent="0.2">
      <c r="A77" t="s">
        <v>11</v>
      </c>
      <c r="B77" t="s">
        <v>7</v>
      </c>
      <c r="C77">
        <v>100</v>
      </c>
      <c r="D77" s="2">
        <v>4396341</v>
      </c>
      <c r="E77">
        <f t="shared" si="29"/>
        <v>-2.3655476185872905E-5</v>
      </c>
      <c r="F77" s="2">
        <v>15.3705</v>
      </c>
      <c r="G77">
        <f t="shared" si="30"/>
        <v>0</v>
      </c>
      <c r="H77" s="2">
        <v>5.5334000000000001E-2</v>
      </c>
      <c r="I77">
        <f t="shared" si="31"/>
        <v>-3.1918318217444799E-2</v>
      </c>
      <c r="J77" s="2">
        <v>4.6836000000000003E-2</v>
      </c>
      <c r="K77">
        <f t="shared" si="32"/>
        <v>-1.0674409171448222E-4</v>
      </c>
      <c r="L77" s="2">
        <v>4.9313400000000002E-3</v>
      </c>
      <c r="M77">
        <f t="shared" si="33"/>
        <v>-5.4052527762426172E-3</v>
      </c>
      <c r="N77" s="2">
        <v>4.8626399999999997E-3</v>
      </c>
      <c r="O77">
        <f t="shared" si="34"/>
        <v>-6.1694501170528118E-6</v>
      </c>
      <c r="P77" s="3"/>
      <c r="Q77" s="3"/>
      <c r="R77" s="3"/>
      <c r="S77" s="3"/>
    </row>
    <row r="78" spans="1:19" x14ac:dyDescent="0.2">
      <c r="A78" t="s">
        <v>11</v>
      </c>
      <c r="B78" t="s">
        <v>7</v>
      </c>
      <c r="C78">
        <v>100</v>
      </c>
      <c r="D78" s="2">
        <v>4398501</v>
      </c>
      <c r="E78">
        <f t="shared" si="29"/>
        <v>-1.7050972860307519E-5</v>
      </c>
      <c r="F78" s="2">
        <v>15.38</v>
      </c>
      <c r="G78">
        <f t="shared" si="30"/>
        <v>-6.5019083100738573E-6</v>
      </c>
      <c r="H78" s="2">
        <v>5.4311400000000003E-2</v>
      </c>
      <c r="I78">
        <f t="shared" si="31"/>
        <v>1.2888804600185824E-5</v>
      </c>
      <c r="J78" s="2">
        <v>4.6047699999999997E-2</v>
      </c>
      <c r="K78">
        <f t="shared" si="32"/>
        <v>-1.0858187725046801E-5</v>
      </c>
      <c r="L78" s="2">
        <v>4.83294E-3</v>
      </c>
      <c r="M78">
        <f t="shared" si="33"/>
        <v>-6.8276756729869205E-5</v>
      </c>
      <c r="N78" s="2">
        <v>4.8609100000000004E-3</v>
      </c>
      <c r="O78">
        <f t="shared" si="34"/>
        <v>0</v>
      </c>
      <c r="P78" s="3"/>
      <c r="Q78" s="3"/>
      <c r="R78" s="3"/>
      <c r="S78" s="3"/>
    </row>
    <row r="79" spans="1:19" x14ac:dyDescent="0.2">
      <c r="A79" t="s">
        <v>11</v>
      </c>
      <c r="B79" t="s">
        <v>7</v>
      </c>
      <c r="C79">
        <v>100</v>
      </c>
      <c r="D79" s="2">
        <v>4396948</v>
      </c>
      <c r="E79">
        <f t="shared" si="29"/>
        <v>-3.411340843438104E-5</v>
      </c>
      <c r="F79" s="2">
        <v>15.375299999999999</v>
      </c>
      <c r="G79">
        <f t="shared" si="30"/>
        <v>0</v>
      </c>
      <c r="H79" s="2">
        <v>5.37797E-2</v>
      </c>
      <c r="I79">
        <f t="shared" si="31"/>
        <v>-9.8540485265403912E-5</v>
      </c>
      <c r="J79" s="2">
        <v>4.56429E-2</v>
      </c>
      <c r="K79">
        <f t="shared" si="32"/>
        <v>-4.8197944576763167E-5</v>
      </c>
      <c r="L79" s="2">
        <v>4.8779599999999998E-3</v>
      </c>
      <c r="M79">
        <f t="shared" si="33"/>
        <v>6.765580825109221E-5</v>
      </c>
      <c r="N79" s="2">
        <v>4.85456E-3</v>
      </c>
      <c r="O79">
        <f t="shared" si="34"/>
        <v>2.677966311185769E-5</v>
      </c>
      <c r="P79" s="3"/>
      <c r="Q79" s="3"/>
      <c r="R79" s="3"/>
      <c r="S79" s="3"/>
    </row>
    <row r="80" spans="1:19" x14ac:dyDescent="0.2">
      <c r="A80" t="s">
        <v>11</v>
      </c>
      <c r="B80" t="s">
        <v>7</v>
      </c>
      <c r="C80">
        <v>100</v>
      </c>
      <c r="D80" s="2">
        <v>4396824</v>
      </c>
      <c r="E80">
        <f t="shared" si="29"/>
        <v>-1.887690597049244E-5</v>
      </c>
      <c r="F80" s="2">
        <v>15.374499999999999</v>
      </c>
      <c r="G80">
        <f t="shared" si="30"/>
        <v>-6.5042342564858235E-6</v>
      </c>
      <c r="H80" s="2">
        <v>5.4443199999999997E-2</v>
      </c>
      <c r="I80">
        <f t="shared" si="31"/>
        <v>-2.0204135235532013E-5</v>
      </c>
      <c r="J80" s="2">
        <v>4.5994300000000002E-2</v>
      </c>
      <c r="K80">
        <f t="shared" si="32"/>
        <v>-1.0000239136154206E-4</v>
      </c>
      <c r="L80" s="2">
        <v>4.8775199999999998E-3</v>
      </c>
      <c r="M80">
        <f t="shared" si="33"/>
        <v>0</v>
      </c>
      <c r="N80" s="2">
        <v>4.9010299999999998E-3</v>
      </c>
      <c r="O80">
        <f t="shared" si="34"/>
        <v>2.4485248657933877E-5</v>
      </c>
      <c r="P80" s="3"/>
      <c r="Q80" s="3"/>
      <c r="R80" s="3"/>
      <c r="S80" s="3"/>
    </row>
    <row r="81" spans="1:19" x14ac:dyDescent="0.2">
      <c r="A81" t="s">
        <v>11</v>
      </c>
      <c r="B81" t="s">
        <v>7</v>
      </c>
      <c r="C81">
        <v>100</v>
      </c>
      <c r="D81" s="2">
        <v>4396678</v>
      </c>
      <c r="E81">
        <f t="shared" si="29"/>
        <v>-2.2061624713568468E-5</v>
      </c>
      <c r="F81" s="2">
        <v>15.374599999999999</v>
      </c>
      <c r="G81">
        <f t="shared" si="30"/>
        <v>0</v>
      </c>
      <c r="H81" s="2">
        <v>5.35647E-2</v>
      </c>
      <c r="I81">
        <f t="shared" si="31"/>
        <v>-2.1837973436071429E-4</v>
      </c>
      <c r="J81" s="2">
        <v>4.5925599999999997E-2</v>
      </c>
      <c r="K81">
        <f t="shared" si="32"/>
        <v>-1.0668292311213954E-4</v>
      </c>
      <c r="L81" s="2">
        <v>4.9021200000000003E-3</v>
      </c>
      <c r="M81">
        <f t="shared" si="33"/>
        <v>5.9161578430915075E-5</v>
      </c>
      <c r="N81" s="2">
        <v>4.8771200000000004E-3</v>
      </c>
      <c r="O81">
        <f t="shared" si="34"/>
        <v>2.2554803045352395E-5</v>
      </c>
      <c r="P81" s="3"/>
      <c r="Q81" s="3"/>
      <c r="R81" s="3"/>
      <c r="S81" s="3"/>
    </row>
    <row r="82" spans="1:19" x14ac:dyDescent="0.2">
      <c r="A82" t="s">
        <v>11</v>
      </c>
      <c r="B82" t="s">
        <v>8</v>
      </c>
      <c r="C82">
        <v>100</v>
      </c>
      <c r="D82">
        <v>4394497</v>
      </c>
      <c r="E82">
        <f t="shared" ref="E82:E91" si="35">(D82-D52)/D52</f>
        <v>-5.2562980006953785E-5</v>
      </c>
      <c r="F82" s="2">
        <v>15.3744</v>
      </c>
      <c r="G82">
        <f t="shared" ref="G82:G91" si="36">(F82-F52)/F52</f>
        <v>1.8866083336046234E-4</v>
      </c>
      <c r="H82" s="2">
        <v>5.35232E-2</v>
      </c>
      <c r="I82">
        <f t="shared" ref="I82:I91" si="37">(H82-H52)/H52</f>
        <v>-8.0332539348909422E-5</v>
      </c>
      <c r="J82" s="2">
        <v>4.5875899999999997E-2</v>
      </c>
      <c r="K82">
        <f t="shared" ref="K82:K91" si="38">(J82-J52)/J52</f>
        <v>-1.242328079230958E-4</v>
      </c>
      <c r="L82" s="2">
        <v>4.8345300000000001E-3</v>
      </c>
      <c r="M82">
        <f t="shared" ref="M82:M91" si="39">(L82-L52)/L52</f>
        <v>-4.1368896794699039E-6</v>
      </c>
      <c r="N82" s="2">
        <v>4.85047E-3</v>
      </c>
      <c r="O82">
        <f t="shared" ref="O82:O91" si="40">(N82-N52)/N52</f>
        <v>2.4740482645614173E-5</v>
      </c>
      <c r="P82" s="3">
        <v>0.85930700000000004</v>
      </c>
      <c r="Q82" s="3">
        <v>9.5899999999999999E-2</v>
      </c>
      <c r="R82" s="3" t="s">
        <v>41</v>
      </c>
      <c r="S82" s="3" t="s">
        <v>38</v>
      </c>
    </row>
    <row r="83" spans="1:19" x14ac:dyDescent="0.2">
      <c r="A83" t="s">
        <v>11</v>
      </c>
      <c r="B83" t="s">
        <v>8</v>
      </c>
      <c r="C83">
        <v>100</v>
      </c>
      <c r="D83" s="2">
        <v>4395638</v>
      </c>
      <c r="E83">
        <f t="shared" si="35"/>
        <v>-4.8454781565617218E-5</v>
      </c>
      <c r="F83" s="2">
        <v>15.368399999999999</v>
      </c>
      <c r="G83">
        <f t="shared" si="36"/>
        <v>-6.5068158896292384E-6</v>
      </c>
      <c r="H83" s="2">
        <v>5.4069300000000001E-2</v>
      </c>
      <c r="I83">
        <f t="shared" si="37"/>
        <v>-2.3297998036314366E-4</v>
      </c>
      <c r="J83" s="2">
        <v>4.6168599999999997E-2</v>
      </c>
      <c r="K83">
        <f t="shared" si="38"/>
        <v>-1.1261797816085773E-4</v>
      </c>
      <c r="L83" s="2">
        <v>4.9131599999999997E-3</v>
      </c>
      <c r="M83">
        <f t="shared" si="39"/>
        <v>-8.5477391230041604E-5</v>
      </c>
      <c r="N83" s="2">
        <v>4.8893599999999997E-3</v>
      </c>
      <c r="O83">
        <f t="shared" si="40"/>
        <v>-3.4768167901589269E-5</v>
      </c>
      <c r="P83" s="3"/>
      <c r="Q83" s="3"/>
      <c r="R83" s="3"/>
      <c r="S83" s="3"/>
    </row>
    <row r="84" spans="1:19" x14ac:dyDescent="0.2">
      <c r="A84" t="s">
        <v>11</v>
      </c>
      <c r="B84" t="s">
        <v>8</v>
      </c>
      <c r="C84">
        <v>100</v>
      </c>
      <c r="D84" s="2">
        <v>4397352</v>
      </c>
      <c r="E84">
        <f t="shared" si="35"/>
        <v>-3.7066388630851743E-5</v>
      </c>
      <c r="F84" s="2">
        <v>15.3721</v>
      </c>
      <c r="G84">
        <f t="shared" si="36"/>
        <v>-6.5052497365222246E-6</v>
      </c>
      <c r="H84" s="2">
        <v>5.4197099999999998E-2</v>
      </c>
      <c r="I84">
        <f t="shared" si="37"/>
        <v>-4.0576106943865142E-4</v>
      </c>
      <c r="J84" s="2">
        <v>4.6418800000000003E-2</v>
      </c>
      <c r="K84">
        <f t="shared" si="38"/>
        <v>-1.9815628500030017E-4</v>
      </c>
      <c r="L84" s="2">
        <v>4.8832700000000003E-3</v>
      </c>
      <c r="M84">
        <f t="shared" si="39"/>
        <v>-2.2525382009867497E-5</v>
      </c>
      <c r="N84" s="2">
        <v>4.8665100000000001E-3</v>
      </c>
      <c r="O84">
        <f t="shared" si="40"/>
        <v>-1.0274197790575492E-5</v>
      </c>
      <c r="P84" s="3"/>
      <c r="Q84" s="3"/>
      <c r="R84" s="3"/>
      <c r="S84" s="3"/>
    </row>
    <row r="85" spans="1:19" x14ac:dyDescent="0.2">
      <c r="A85" t="s">
        <v>11</v>
      </c>
      <c r="B85" t="s">
        <v>8</v>
      </c>
      <c r="C85">
        <v>100</v>
      </c>
      <c r="D85" s="2">
        <v>4397666</v>
      </c>
      <c r="E85">
        <f t="shared" si="35"/>
        <v>-2.8878121366785566E-5</v>
      </c>
      <c r="F85" s="2">
        <v>15.371499999999999</v>
      </c>
      <c r="G85">
        <f t="shared" si="36"/>
        <v>0</v>
      </c>
      <c r="H85" s="2">
        <v>5.4316299999999998E-2</v>
      </c>
      <c r="I85">
        <f t="shared" si="37"/>
        <v>-4.5307062256125463E-2</v>
      </c>
      <c r="J85" s="2">
        <v>4.6707199999999997E-2</v>
      </c>
      <c r="K85">
        <f t="shared" si="38"/>
        <v>9.4212766686251905E-5</v>
      </c>
      <c r="L85" s="2">
        <v>4.8817799999999996E-3</v>
      </c>
      <c r="M85">
        <f t="shared" si="39"/>
        <v>-1.0555629871946175E-2</v>
      </c>
      <c r="N85" s="2">
        <v>4.88041E-3</v>
      </c>
      <c r="O85">
        <f t="shared" si="40"/>
        <v>4.0980331489658047E-6</v>
      </c>
      <c r="P85" s="3"/>
      <c r="Q85" s="3"/>
      <c r="R85" s="3"/>
      <c r="S85" s="3"/>
    </row>
    <row r="86" spans="1:19" x14ac:dyDescent="0.2">
      <c r="A86" t="s">
        <v>11</v>
      </c>
      <c r="B86" t="s">
        <v>8</v>
      </c>
      <c r="C86">
        <v>100</v>
      </c>
      <c r="D86" s="2">
        <v>4397067</v>
      </c>
      <c r="E86">
        <f t="shared" si="35"/>
        <v>-3.9797673177869221E-5</v>
      </c>
      <c r="F86" s="2">
        <v>15.379300000000001</v>
      </c>
      <c r="G86">
        <f t="shared" si="36"/>
        <v>0</v>
      </c>
      <c r="H86" s="2">
        <v>5.4633599999999997E-2</v>
      </c>
      <c r="I86">
        <f t="shared" si="37"/>
        <v>-2.37943146231198E-5</v>
      </c>
      <c r="J86" s="2">
        <v>6.2854300000000002E-2</v>
      </c>
      <c r="K86">
        <f t="shared" si="38"/>
        <v>0.34356596703411801</v>
      </c>
      <c r="L86" s="2">
        <v>4.8553099999999998E-3</v>
      </c>
      <c r="M86">
        <f t="shared" si="39"/>
        <v>-2.0595964838446513E-6</v>
      </c>
      <c r="N86" s="2">
        <v>4.8607600000000004E-3</v>
      </c>
      <c r="O86">
        <f t="shared" si="40"/>
        <v>3.0582301885703203E-3</v>
      </c>
      <c r="P86" s="3"/>
      <c r="Q86" s="3"/>
      <c r="R86" s="3"/>
      <c r="S86" s="3"/>
    </row>
    <row r="87" spans="1:19" x14ac:dyDescent="0.2">
      <c r="A87" t="s">
        <v>11</v>
      </c>
      <c r="B87" t="s">
        <v>8</v>
      </c>
      <c r="C87">
        <v>100</v>
      </c>
      <c r="D87" s="2">
        <v>4396288</v>
      </c>
      <c r="E87">
        <f t="shared" si="35"/>
        <v>-3.5710670780596597E-5</v>
      </c>
      <c r="F87" s="2">
        <v>15.3705</v>
      </c>
      <c r="G87">
        <f t="shared" si="36"/>
        <v>0</v>
      </c>
      <c r="H87" s="2">
        <v>5.5335299999999997E-2</v>
      </c>
      <c r="I87">
        <f t="shared" si="37"/>
        <v>-3.18955744037622E-2</v>
      </c>
      <c r="J87" s="2">
        <v>4.68364E-2</v>
      </c>
      <c r="K87">
        <f t="shared" si="38"/>
        <v>-9.8204564377371047E-5</v>
      </c>
      <c r="L87" s="2">
        <v>4.9309899999999997E-3</v>
      </c>
      <c r="M87">
        <f t="shared" si="39"/>
        <v>-5.4758437639921605E-3</v>
      </c>
      <c r="N87" s="2">
        <v>4.8624999999999996E-3</v>
      </c>
      <c r="O87">
        <f t="shared" si="40"/>
        <v>-3.4960217329311906E-5</v>
      </c>
      <c r="P87" s="3"/>
      <c r="Q87" s="3"/>
      <c r="R87" s="3"/>
      <c r="S87" s="3"/>
    </row>
    <row r="88" spans="1:19" x14ac:dyDescent="0.2">
      <c r="A88" t="s">
        <v>11</v>
      </c>
      <c r="B88" t="s">
        <v>8</v>
      </c>
      <c r="C88">
        <v>100</v>
      </c>
      <c r="D88" s="2">
        <v>4398458</v>
      </c>
      <c r="E88">
        <f t="shared" si="35"/>
        <v>-2.6826863966883828E-5</v>
      </c>
      <c r="F88" s="2">
        <v>15.38</v>
      </c>
      <c r="G88">
        <f t="shared" si="36"/>
        <v>-6.5019083100738573E-6</v>
      </c>
      <c r="H88" s="2">
        <v>5.4293800000000003E-2</v>
      </c>
      <c r="I88">
        <f t="shared" si="37"/>
        <v>-3.111725682047966E-4</v>
      </c>
      <c r="J88" s="2">
        <v>4.6040400000000002E-2</v>
      </c>
      <c r="K88">
        <f t="shared" si="38"/>
        <v>-1.6938772851045884E-4</v>
      </c>
      <c r="L88" s="2">
        <v>4.8328499999999996E-3</v>
      </c>
      <c r="M88">
        <f t="shared" si="39"/>
        <v>-8.6897690383551466E-5</v>
      </c>
      <c r="N88" s="2">
        <v>4.8608699999999998E-3</v>
      </c>
      <c r="O88">
        <f t="shared" si="40"/>
        <v>-8.2289118705406613E-6</v>
      </c>
      <c r="P88" s="3"/>
      <c r="Q88" s="3"/>
      <c r="R88" s="3"/>
      <c r="S88" s="3"/>
    </row>
    <row r="89" spans="1:19" x14ac:dyDescent="0.2">
      <c r="A89" t="s">
        <v>11</v>
      </c>
      <c r="B89" t="s">
        <v>8</v>
      </c>
      <c r="C89">
        <v>100</v>
      </c>
      <c r="D89" s="2">
        <v>4396859</v>
      </c>
      <c r="E89">
        <f t="shared" si="35"/>
        <v>-5.4354030772113788E-5</v>
      </c>
      <c r="F89" s="2">
        <v>15.375299999999999</v>
      </c>
      <c r="G89">
        <f t="shared" si="36"/>
        <v>0</v>
      </c>
      <c r="H89" s="2">
        <v>5.3783299999999999E-2</v>
      </c>
      <c r="I89">
        <f t="shared" si="37"/>
        <v>-3.1607325462495351E-5</v>
      </c>
      <c r="J89" s="2">
        <v>4.5644400000000002E-2</v>
      </c>
      <c r="K89">
        <f t="shared" si="38"/>
        <v>-1.5335709638040277E-5</v>
      </c>
      <c r="L89" s="2">
        <v>4.87763E-3</v>
      </c>
      <c r="M89">
        <f t="shared" si="39"/>
        <v>0</v>
      </c>
      <c r="N89" s="2">
        <v>4.8544299999999999E-3</v>
      </c>
      <c r="O89">
        <f t="shared" si="40"/>
        <v>0</v>
      </c>
      <c r="P89" s="3"/>
      <c r="Q89" s="3"/>
      <c r="R89" s="3"/>
      <c r="S89" s="3"/>
    </row>
    <row r="90" spans="1:19" x14ac:dyDescent="0.2">
      <c r="A90" t="s">
        <v>11</v>
      </c>
      <c r="B90" t="s">
        <v>8</v>
      </c>
      <c r="C90">
        <v>100</v>
      </c>
      <c r="D90" s="2">
        <v>4396782</v>
      </c>
      <c r="E90">
        <f t="shared" si="35"/>
        <v>-2.8429075256765722E-5</v>
      </c>
      <c r="F90" s="2">
        <v>15.374499999999999</v>
      </c>
      <c r="G90">
        <f t="shared" si="36"/>
        <v>-6.5042342564858235E-6</v>
      </c>
      <c r="H90" s="2">
        <v>5.4442200000000003E-2</v>
      </c>
      <c r="I90">
        <f t="shared" si="37"/>
        <v>-3.8571530904023686E-5</v>
      </c>
      <c r="J90" s="2">
        <v>4.5993699999999998E-2</v>
      </c>
      <c r="K90">
        <f t="shared" si="38"/>
        <v>-1.1304618153920664E-4</v>
      </c>
      <c r="L90" s="2">
        <v>4.8775099999999998E-3</v>
      </c>
      <c r="M90">
        <f t="shared" si="39"/>
        <v>-2.0502222440790837E-6</v>
      </c>
      <c r="N90" s="2">
        <v>4.9010199999999999E-3</v>
      </c>
      <c r="O90">
        <f t="shared" si="40"/>
        <v>2.2444811269787467E-5</v>
      </c>
      <c r="P90" s="3"/>
      <c r="Q90" s="3"/>
      <c r="R90" s="3"/>
      <c r="S90" s="3"/>
    </row>
    <row r="91" spans="1:19" x14ac:dyDescent="0.2">
      <c r="A91" t="s">
        <v>11</v>
      </c>
      <c r="B91" t="s">
        <v>8</v>
      </c>
      <c r="C91">
        <v>100</v>
      </c>
      <c r="D91" s="2">
        <v>4396644</v>
      </c>
      <c r="E91">
        <f t="shared" si="35"/>
        <v>-2.9794565334819271E-5</v>
      </c>
      <c r="F91" s="2">
        <v>15.374499999999999</v>
      </c>
      <c r="G91">
        <f t="shared" si="36"/>
        <v>-6.5042342564858235E-6</v>
      </c>
      <c r="H91" s="2">
        <v>5.3564399999999998E-2</v>
      </c>
      <c r="I91">
        <f t="shared" si="37"/>
        <v>-2.2397921472896764E-4</v>
      </c>
      <c r="J91" s="2">
        <v>4.5925399999999998E-2</v>
      </c>
      <c r="K91">
        <f t="shared" si="38"/>
        <v>-1.1103732813709707E-4</v>
      </c>
      <c r="L91" s="2">
        <v>4.9021200000000003E-3</v>
      </c>
      <c r="M91">
        <f t="shared" si="39"/>
        <v>5.9161578430915075E-5</v>
      </c>
      <c r="N91" s="2">
        <v>4.8771200000000004E-3</v>
      </c>
      <c r="O91">
        <f t="shared" si="40"/>
        <v>2.2554803045352395E-5</v>
      </c>
      <c r="P91" s="3"/>
      <c r="Q91" s="3"/>
      <c r="R91" s="3"/>
      <c r="S91" s="3"/>
    </row>
    <row r="92" spans="1:19" x14ac:dyDescent="0.2">
      <c r="A92" t="s">
        <v>11</v>
      </c>
      <c r="B92" t="s">
        <v>9</v>
      </c>
      <c r="C92">
        <v>100</v>
      </c>
      <c r="D92">
        <v>4515935</v>
      </c>
      <c r="E92">
        <f t="shared" ref="E92:E101" si="41">(D92-D52)/D52</f>
        <v>2.7580091418627047E-2</v>
      </c>
      <c r="F92" s="2">
        <v>15.449299999999999</v>
      </c>
      <c r="G92">
        <f t="shared" ref="G92:G101" si="42">(F92-F52)/F52</f>
        <v>5.0613147708421348E-3</v>
      </c>
      <c r="H92" s="2">
        <v>4.5016100000000003E-2</v>
      </c>
      <c r="I92">
        <f t="shared" ref="I92:I101" si="43">(H92-H52)/H52</f>
        <v>-0.15900985474755958</v>
      </c>
      <c r="J92" s="2">
        <v>3.9386600000000001E-2</v>
      </c>
      <c r="K92">
        <f t="shared" ref="K92:K101" si="44">(J92-J52)/J52</f>
        <v>-0.14156001534384155</v>
      </c>
      <c r="L92" s="2">
        <v>4.76677E-3</v>
      </c>
      <c r="M92">
        <f t="shared" ref="M92:M101" si="45">(L92-L52)/L52</f>
        <v>-1.401991912380675E-2</v>
      </c>
      <c r="N92" s="2">
        <v>4.7770199999999999E-3</v>
      </c>
      <c r="O92">
        <f t="shared" ref="O92:O101" si="46">(N92-N52)/N52</f>
        <v>-1.5118496603337889E-2</v>
      </c>
      <c r="P92" s="3">
        <v>0.85855999999999999</v>
      </c>
      <c r="Q92" s="3" t="s">
        <v>42</v>
      </c>
      <c r="R92" s="3" t="s">
        <v>43</v>
      </c>
      <c r="S92" s="3" t="s">
        <v>44</v>
      </c>
    </row>
    <row r="93" spans="1:19" x14ac:dyDescent="0.2">
      <c r="A93" t="s">
        <v>11</v>
      </c>
      <c r="B93" t="s">
        <v>9</v>
      </c>
      <c r="C93">
        <v>100</v>
      </c>
      <c r="D93" s="2">
        <v>4517744</v>
      </c>
      <c r="E93">
        <f>(D93-D53)/D53</f>
        <v>2.7729101828064692E-2</v>
      </c>
      <c r="F93" s="2">
        <v>15.450900000000001</v>
      </c>
      <c r="G93">
        <f t="shared" si="42"/>
        <v>5.361616293067091E-3</v>
      </c>
      <c r="H93" s="2">
        <v>4.6072799999999997E-2</v>
      </c>
      <c r="I93">
        <f t="shared" si="43"/>
        <v>-0.14809206037509787</v>
      </c>
      <c r="J93" s="2">
        <v>4.6168599999999997E-2</v>
      </c>
      <c r="K93">
        <f t="shared" si="44"/>
        <v>-1.1261797816085773E-4</v>
      </c>
      <c r="L93" s="2">
        <v>4.9015700000000001E-3</v>
      </c>
      <c r="M93">
        <f t="shared" si="45"/>
        <v>-2.4442463539821879E-3</v>
      </c>
      <c r="N93" s="2">
        <v>4.8893599999999997E-3</v>
      </c>
      <c r="O93">
        <f t="shared" si="46"/>
        <v>-3.4768167901589269E-5</v>
      </c>
      <c r="P93" s="3"/>
      <c r="Q93" s="3"/>
      <c r="R93" s="3"/>
      <c r="S93" s="3"/>
    </row>
    <row r="94" spans="1:19" x14ac:dyDescent="0.2">
      <c r="A94" t="s">
        <v>11</v>
      </c>
      <c r="B94" t="s">
        <v>9</v>
      </c>
      <c r="C94">
        <v>100</v>
      </c>
      <c r="D94" s="2">
        <v>4462490</v>
      </c>
      <c r="E94">
        <f t="shared" si="41"/>
        <v>1.4775390191960686E-2</v>
      </c>
      <c r="F94" s="2">
        <v>15.379</v>
      </c>
      <c r="G94">
        <f t="shared" si="42"/>
        <v>4.423569820845513E-4</v>
      </c>
      <c r="H94" s="2">
        <v>4.8346300000000002E-2</v>
      </c>
      <c r="I94">
        <f t="shared" si="43"/>
        <v>-0.10831607311814467</v>
      </c>
      <c r="J94" s="2">
        <v>4.6418800000000003E-2</v>
      </c>
      <c r="K94">
        <f t="shared" si="44"/>
        <v>-1.9815628500030017E-4</v>
      </c>
      <c r="L94" s="2">
        <v>4.8679099999999996E-3</v>
      </c>
      <c r="M94">
        <f t="shared" si="45"/>
        <v>-3.167887815406556E-3</v>
      </c>
      <c r="N94" s="2">
        <v>4.8665100000000001E-3</v>
      </c>
      <c r="O94">
        <f t="shared" si="46"/>
        <v>-1.0274197790575492E-5</v>
      </c>
      <c r="P94" s="3"/>
      <c r="Q94" s="3"/>
      <c r="R94" s="3"/>
      <c r="S94" s="3"/>
    </row>
    <row r="95" spans="1:19" x14ac:dyDescent="0.2">
      <c r="A95" t="s">
        <v>11</v>
      </c>
      <c r="B95" t="s">
        <v>9</v>
      </c>
      <c r="C95">
        <v>100</v>
      </c>
      <c r="D95" s="2">
        <v>4463513</v>
      </c>
      <c r="E95">
        <f t="shared" si="41"/>
        <v>1.4943859340355492E-2</v>
      </c>
      <c r="F95" s="2">
        <v>15.3795</v>
      </c>
      <c r="G95">
        <f t="shared" si="42"/>
        <v>5.2044367823575423E-4</v>
      </c>
      <c r="H95" s="2">
        <v>6.0591600000000002E-2</v>
      </c>
      <c r="I95">
        <f t="shared" si="43"/>
        <v>6.4991035961612861E-2</v>
      </c>
      <c r="J95" s="2">
        <v>4.6707199999999997E-2</v>
      </c>
      <c r="K95">
        <f t="shared" si="44"/>
        <v>9.4212766686251905E-5</v>
      </c>
      <c r="L95" s="2">
        <v>4.7948899999999996E-3</v>
      </c>
      <c r="M95">
        <f t="shared" si="45"/>
        <v>-2.8166587621051349E-2</v>
      </c>
      <c r="N95" s="2">
        <v>4.88041E-3</v>
      </c>
      <c r="O95">
        <f t="shared" si="46"/>
        <v>4.0980331489658047E-6</v>
      </c>
      <c r="P95" s="3"/>
      <c r="Q95" s="3"/>
      <c r="R95" s="3"/>
      <c r="S95" s="3"/>
    </row>
    <row r="96" spans="1:19" x14ac:dyDescent="0.2">
      <c r="A96" t="s">
        <v>11</v>
      </c>
      <c r="B96" t="s">
        <v>9</v>
      </c>
      <c r="C96">
        <v>100</v>
      </c>
      <c r="D96" s="2">
        <v>4461624</v>
      </c>
      <c r="E96">
        <f t="shared" si="41"/>
        <v>1.4641450254500435E-2</v>
      </c>
      <c r="F96" s="2">
        <v>15.385400000000001</v>
      </c>
      <c r="G96">
        <f t="shared" si="42"/>
        <v>3.9663703809666203E-4</v>
      </c>
      <c r="H96" s="2">
        <v>4.8973000000000003E-2</v>
      </c>
      <c r="I96">
        <f t="shared" si="43"/>
        <v>-0.10363156151104876</v>
      </c>
      <c r="J96" s="2">
        <v>4.6788999999999997E-2</v>
      </c>
      <c r="K96">
        <f t="shared" si="44"/>
        <v>1.5604392315787607E-4</v>
      </c>
      <c r="L96" s="2">
        <v>4.8347900000000003E-3</v>
      </c>
      <c r="M96">
        <f t="shared" si="45"/>
        <v>-4.2283515813580788E-3</v>
      </c>
      <c r="N96" s="2">
        <v>4.8459699999999998E-3</v>
      </c>
      <c r="O96">
        <f t="shared" si="46"/>
        <v>6.1907493695385898E-6</v>
      </c>
      <c r="P96" s="3"/>
      <c r="Q96" s="3"/>
      <c r="R96" s="3"/>
      <c r="S96" s="3"/>
    </row>
    <row r="97" spans="1:19" x14ac:dyDescent="0.2">
      <c r="A97" t="s">
        <v>11</v>
      </c>
      <c r="B97" t="s">
        <v>9</v>
      </c>
      <c r="C97">
        <v>100</v>
      </c>
      <c r="D97" s="2">
        <v>4462275</v>
      </c>
      <c r="E97">
        <f t="shared" si="41"/>
        <v>1.4973461512653974E-2</v>
      </c>
      <c r="F97" s="2">
        <v>15.3774</v>
      </c>
      <c r="G97">
        <f t="shared" si="42"/>
        <v>4.4891187664681734E-4</v>
      </c>
      <c r="H97" s="2">
        <v>5.0054800000000003E-2</v>
      </c>
      <c r="I97">
        <f t="shared" si="43"/>
        <v>-0.12427919605867195</v>
      </c>
      <c r="J97" s="2">
        <v>4.68364E-2</v>
      </c>
      <c r="K97">
        <f t="shared" si="44"/>
        <v>-9.8204564377371047E-5</v>
      </c>
      <c r="L97" s="2">
        <v>4.9193199999999996E-3</v>
      </c>
      <c r="M97">
        <f t="shared" si="45"/>
        <v>-7.8295489840948772E-3</v>
      </c>
      <c r="N97" s="2">
        <v>4.8624999999999996E-3</v>
      </c>
      <c r="O97">
        <f t="shared" si="46"/>
        <v>-3.4960217329311906E-5</v>
      </c>
      <c r="P97" s="3"/>
      <c r="Q97" s="3"/>
      <c r="R97" s="3"/>
      <c r="S97" s="3"/>
    </row>
    <row r="98" spans="1:19" x14ac:dyDescent="0.2">
      <c r="A98" t="s">
        <v>11</v>
      </c>
      <c r="B98" t="s">
        <v>9</v>
      </c>
      <c r="C98">
        <v>100</v>
      </c>
      <c r="D98" s="2">
        <v>4462523</v>
      </c>
      <c r="E98">
        <f t="shared" si="41"/>
        <v>1.4538114153307798E-2</v>
      </c>
      <c r="F98" s="2">
        <v>15.3842</v>
      </c>
      <c r="G98">
        <f t="shared" si="42"/>
        <v>2.6657824071360563E-4</v>
      </c>
      <c r="H98" s="2">
        <v>5.0158000000000001E-2</v>
      </c>
      <c r="I98">
        <f t="shared" si="43"/>
        <v>-7.6461912661777556E-2</v>
      </c>
      <c r="J98" s="2">
        <v>4.6048199999999997E-2</v>
      </c>
      <c r="K98">
        <f t="shared" si="44"/>
        <v>0</v>
      </c>
      <c r="L98" s="2">
        <v>4.8330999999999999E-3</v>
      </c>
      <c r="M98">
        <f t="shared" si="45"/>
        <v>-3.5172874679018093E-5</v>
      </c>
      <c r="N98" s="2">
        <v>4.8608999999999996E-3</v>
      </c>
      <c r="O98">
        <f t="shared" si="46"/>
        <v>-2.0572279677689923E-6</v>
      </c>
      <c r="P98" s="3"/>
      <c r="Q98" s="3"/>
      <c r="R98" s="3"/>
      <c r="S98" s="3"/>
    </row>
    <row r="99" spans="1:19" x14ac:dyDescent="0.2">
      <c r="A99" t="s">
        <v>11</v>
      </c>
      <c r="B99" t="s">
        <v>9</v>
      </c>
      <c r="C99">
        <v>100</v>
      </c>
      <c r="D99" s="2">
        <v>4518455</v>
      </c>
      <c r="E99">
        <f t="shared" si="41"/>
        <v>2.7599339382474532E-2</v>
      </c>
      <c r="F99" s="2">
        <v>15.4581</v>
      </c>
      <c r="G99">
        <f t="shared" si="42"/>
        <v>5.3852607753995469E-3</v>
      </c>
      <c r="H99" s="2">
        <v>4.5599199999999999E-2</v>
      </c>
      <c r="I99">
        <f t="shared" si="43"/>
        <v>-0.15219484986520407</v>
      </c>
      <c r="J99" s="2">
        <v>4.5644400000000002E-2</v>
      </c>
      <c r="K99">
        <f t="shared" si="44"/>
        <v>-1.5335709638040277E-5</v>
      </c>
      <c r="L99" s="2">
        <v>4.8775600000000004E-3</v>
      </c>
      <c r="M99">
        <f t="shared" si="45"/>
        <v>-1.4351232053186544E-5</v>
      </c>
      <c r="N99" s="2">
        <v>4.8544299999999999E-3</v>
      </c>
      <c r="O99">
        <f t="shared" si="46"/>
        <v>0</v>
      </c>
      <c r="P99" s="3"/>
      <c r="Q99" s="3"/>
      <c r="R99" s="3"/>
      <c r="S99" s="3"/>
    </row>
    <row r="100" spans="1:19" x14ac:dyDescent="0.2">
      <c r="A100" t="s">
        <v>11</v>
      </c>
      <c r="B100" t="s">
        <v>9</v>
      </c>
      <c r="C100">
        <v>100</v>
      </c>
      <c r="D100" s="2">
        <v>4462465</v>
      </c>
      <c r="E100">
        <f t="shared" si="41"/>
        <v>1.4910026525464377E-2</v>
      </c>
      <c r="F100" s="2">
        <v>15.382199999999999</v>
      </c>
      <c r="G100">
        <f t="shared" si="42"/>
        <v>4.9432180349407795E-4</v>
      </c>
      <c r="H100" s="2">
        <v>5.1206599999999998E-2</v>
      </c>
      <c r="I100">
        <f t="shared" si="43"/>
        <v>-5.9468116956228716E-2</v>
      </c>
      <c r="J100" s="2">
        <v>4.5993699999999998E-2</v>
      </c>
      <c r="K100">
        <f t="shared" si="44"/>
        <v>-1.1304618153920664E-4</v>
      </c>
      <c r="L100" s="2">
        <v>4.8822300000000004E-3</v>
      </c>
      <c r="M100">
        <f t="shared" si="45"/>
        <v>9.6565467696711673E-4</v>
      </c>
      <c r="N100" s="2">
        <v>4.9010199999999999E-3</v>
      </c>
      <c r="O100">
        <f t="shared" si="46"/>
        <v>2.2444811269787467E-5</v>
      </c>
      <c r="P100" s="3"/>
      <c r="Q100" s="3"/>
      <c r="R100" s="3"/>
      <c r="S100" s="3"/>
    </row>
    <row r="101" spans="1:19" x14ac:dyDescent="0.2">
      <c r="A101" t="s">
        <v>11</v>
      </c>
      <c r="B101" t="s">
        <v>9</v>
      </c>
      <c r="C101">
        <v>100</v>
      </c>
      <c r="D101" s="2">
        <v>4462806</v>
      </c>
      <c r="E101">
        <f t="shared" si="41"/>
        <v>1.501805300475917E-2</v>
      </c>
      <c r="F101" s="2">
        <v>15.3828</v>
      </c>
      <c r="G101">
        <f t="shared" si="42"/>
        <v>5.3334720903310852E-4</v>
      </c>
      <c r="H101" s="2">
        <v>4.7755800000000001E-2</v>
      </c>
      <c r="I101">
        <f t="shared" si="43"/>
        <v>-0.10864111810423996</v>
      </c>
      <c r="J101" s="2">
        <v>4.5925399999999998E-2</v>
      </c>
      <c r="K101">
        <f t="shared" si="44"/>
        <v>-1.1103732813709707E-4</v>
      </c>
      <c r="L101" s="2">
        <v>4.88128E-3</v>
      </c>
      <c r="M101">
        <f t="shared" si="45"/>
        <v>-4.1923118508802332E-3</v>
      </c>
      <c r="N101" s="2">
        <v>4.8771200000000004E-3</v>
      </c>
      <c r="O101">
        <f t="shared" si="46"/>
        <v>2.2554803045352395E-5</v>
      </c>
      <c r="P101" s="3"/>
      <c r="Q101" s="3"/>
      <c r="R101" s="3"/>
      <c r="S101" s="3"/>
    </row>
    <row r="102" spans="1:19" x14ac:dyDescent="0.2">
      <c r="A102" t="s">
        <v>12</v>
      </c>
      <c r="B102" t="s">
        <v>5</v>
      </c>
      <c r="C102">
        <v>100</v>
      </c>
      <c r="D102">
        <v>4339346</v>
      </c>
      <c r="E102">
        <v>0</v>
      </c>
      <c r="F102" s="2">
        <v>15.245799999999999</v>
      </c>
      <c r="G102">
        <v>0</v>
      </c>
      <c r="H102" s="2">
        <v>7.0217799999999997E-2</v>
      </c>
      <c r="I102">
        <v>0</v>
      </c>
      <c r="J102" s="2">
        <v>6.2448900000000002E-2</v>
      </c>
      <c r="K102">
        <v>0</v>
      </c>
      <c r="L102" s="2">
        <v>4.7980899999999996E-3</v>
      </c>
      <c r="M102">
        <v>0</v>
      </c>
      <c r="N102" s="2">
        <v>4.8272799999999998E-3</v>
      </c>
      <c r="O102">
        <v>0</v>
      </c>
      <c r="P102" s="4">
        <v>0.81652651300000001</v>
      </c>
      <c r="Q102" s="1">
        <f>(199464-187984)/199464</f>
        <v>5.7554245377612001E-2</v>
      </c>
      <c r="R102" s="3" t="s">
        <v>45</v>
      </c>
      <c r="S102" s="3" t="s">
        <v>46</v>
      </c>
    </row>
    <row r="103" spans="1:19" x14ac:dyDescent="0.2">
      <c r="A103" t="s">
        <v>12</v>
      </c>
      <c r="B103" t="s">
        <v>5</v>
      </c>
      <c r="C103">
        <v>100</v>
      </c>
      <c r="D103" s="2">
        <v>4335062</v>
      </c>
      <c r="E103">
        <v>0</v>
      </c>
      <c r="F103" s="2">
        <v>15.2296</v>
      </c>
      <c r="G103">
        <v>0</v>
      </c>
      <c r="H103" s="2">
        <v>7.1744299999999997E-2</v>
      </c>
      <c r="I103">
        <v>0</v>
      </c>
      <c r="J103" s="2">
        <v>6.3489000000000004E-2</v>
      </c>
      <c r="K103">
        <v>0</v>
      </c>
      <c r="L103" s="2">
        <v>5.0070699999999998E-3</v>
      </c>
      <c r="M103">
        <v>0</v>
      </c>
      <c r="N103" s="2">
        <v>4.9648100000000001E-3</v>
      </c>
      <c r="O103">
        <v>0</v>
      </c>
      <c r="P103" s="4"/>
      <c r="Q103" s="1"/>
      <c r="R103" s="3"/>
      <c r="S103" s="3"/>
    </row>
    <row r="104" spans="1:19" x14ac:dyDescent="0.2">
      <c r="A104" t="s">
        <v>12</v>
      </c>
      <c r="B104" t="s">
        <v>5</v>
      </c>
      <c r="C104">
        <v>100</v>
      </c>
      <c r="D104" s="2">
        <v>4341464</v>
      </c>
      <c r="E104">
        <v>0</v>
      </c>
      <c r="F104" s="2">
        <v>15.247999999999999</v>
      </c>
      <c r="G104">
        <v>0</v>
      </c>
      <c r="H104" s="2">
        <v>7.0740600000000001E-2</v>
      </c>
      <c r="I104">
        <v>0</v>
      </c>
      <c r="J104" s="2">
        <v>6.32104E-2</v>
      </c>
      <c r="K104">
        <v>0</v>
      </c>
      <c r="L104" s="2">
        <v>4.8633399999999999E-3</v>
      </c>
      <c r="M104">
        <v>0</v>
      </c>
      <c r="N104" s="2">
        <v>4.8704500000000001E-3</v>
      </c>
      <c r="O104">
        <v>0</v>
      </c>
      <c r="P104" s="4"/>
      <c r="Q104" s="1"/>
      <c r="R104" s="3"/>
      <c r="S104" s="3"/>
    </row>
    <row r="105" spans="1:19" x14ac:dyDescent="0.2">
      <c r="A105" t="s">
        <v>12</v>
      </c>
      <c r="B105" t="s">
        <v>5</v>
      </c>
      <c r="C105">
        <v>100</v>
      </c>
      <c r="D105" s="2">
        <v>4338363</v>
      </c>
      <c r="E105">
        <v>0</v>
      </c>
      <c r="F105" s="2">
        <v>15.241</v>
      </c>
      <c r="G105">
        <v>0</v>
      </c>
      <c r="H105" s="2">
        <v>7.0762500000000006E-2</v>
      </c>
      <c r="I105">
        <v>0</v>
      </c>
      <c r="J105" s="2">
        <v>6.3306000000000001E-2</v>
      </c>
      <c r="K105">
        <v>0</v>
      </c>
      <c r="L105" s="2">
        <v>4.89062E-3</v>
      </c>
      <c r="M105">
        <v>0</v>
      </c>
      <c r="N105" s="2">
        <v>4.8833100000000001E-3</v>
      </c>
      <c r="O105">
        <v>0</v>
      </c>
      <c r="P105" s="4"/>
      <c r="Q105" s="1"/>
      <c r="R105" s="3"/>
      <c r="S105" s="3"/>
    </row>
    <row r="106" spans="1:19" x14ac:dyDescent="0.2">
      <c r="A106" t="s">
        <v>12</v>
      </c>
      <c r="B106" t="s">
        <v>5</v>
      </c>
      <c r="C106">
        <v>100</v>
      </c>
      <c r="D106" s="2">
        <v>4334450</v>
      </c>
      <c r="E106">
        <v>0</v>
      </c>
      <c r="F106" s="2">
        <v>15.2318</v>
      </c>
      <c r="G106">
        <v>0</v>
      </c>
      <c r="H106" s="2">
        <v>7.1453600000000006E-2</v>
      </c>
      <c r="I106">
        <v>0</v>
      </c>
      <c r="J106" s="2">
        <v>6.2887299999999993E-2</v>
      </c>
      <c r="K106">
        <v>0</v>
      </c>
      <c r="L106" s="2">
        <v>4.9579300000000001E-3</v>
      </c>
      <c r="M106">
        <v>0</v>
      </c>
      <c r="N106" s="2">
        <v>4.8607800000000003E-3</v>
      </c>
      <c r="O106">
        <v>0</v>
      </c>
      <c r="P106" s="4"/>
      <c r="Q106" s="1"/>
      <c r="R106" s="3"/>
      <c r="S106" s="3"/>
    </row>
    <row r="107" spans="1:19" x14ac:dyDescent="0.2">
      <c r="A107" t="s">
        <v>12</v>
      </c>
      <c r="B107" t="s">
        <v>5</v>
      </c>
      <c r="C107">
        <v>100</v>
      </c>
      <c r="D107" s="2">
        <v>4336747</v>
      </c>
      <c r="E107">
        <v>0</v>
      </c>
      <c r="F107" s="2">
        <v>15.233000000000001</v>
      </c>
      <c r="G107">
        <v>0</v>
      </c>
      <c r="H107" s="2">
        <v>7.0530300000000004E-2</v>
      </c>
      <c r="I107">
        <v>0</v>
      </c>
      <c r="J107" s="2">
        <v>6.2325100000000001E-2</v>
      </c>
      <c r="K107">
        <v>0</v>
      </c>
      <c r="L107" s="2">
        <v>4.8593799999999999E-3</v>
      </c>
      <c r="M107">
        <v>0</v>
      </c>
      <c r="N107" s="2">
        <v>4.8607800000000003E-3</v>
      </c>
      <c r="O107">
        <v>0</v>
      </c>
      <c r="P107" s="4"/>
      <c r="Q107" s="1"/>
      <c r="R107" s="3"/>
      <c r="S107" s="3"/>
    </row>
    <row r="108" spans="1:19" x14ac:dyDescent="0.2">
      <c r="A108" t="s">
        <v>12</v>
      </c>
      <c r="B108" t="s">
        <v>5</v>
      </c>
      <c r="C108">
        <v>100</v>
      </c>
      <c r="D108" s="2">
        <v>4331675</v>
      </c>
      <c r="E108">
        <v>0</v>
      </c>
      <c r="F108" s="2">
        <v>15.2224</v>
      </c>
      <c r="G108">
        <v>0</v>
      </c>
      <c r="H108" s="2">
        <v>7.1379899999999996E-2</v>
      </c>
      <c r="I108">
        <v>0</v>
      </c>
      <c r="J108" s="2">
        <v>6.3982499999999998E-2</v>
      </c>
      <c r="K108">
        <v>0</v>
      </c>
      <c r="L108" s="2">
        <v>4.7955100000000002E-3</v>
      </c>
      <c r="M108">
        <v>0</v>
      </c>
      <c r="N108" s="2">
        <v>4.7996999999999996E-3</v>
      </c>
      <c r="O108">
        <v>0</v>
      </c>
      <c r="P108" s="4"/>
      <c r="Q108" s="1"/>
      <c r="R108" s="3"/>
      <c r="S108" s="3"/>
    </row>
    <row r="109" spans="1:19" x14ac:dyDescent="0.2">
      <c r="A109" t="s">
        <v>12</v>
      </c>
      <c r="B109" t="s">
        <v>5</v>
      </c>
      <c r="C109">
        <v>100</v>
      </c>
      <c r="D109" s="2">
        <v>4328490</v>
      </c>
      <c r="E109">
        <v>0</v>
      </c>
      <c r="F109" s="2">
        <v>15.2134</v>
      </c>
      <c r="G109">
        <v>0</v>
      </c>
      <c r="H109" s="2">
        <v>7.1303500000000006E-2</v>
      </c>
      <c r="I109">
        <v>0</v>
      </c>
      <c r="J109" s="2">
        <v>6.3164700000000004E-2</v>
      </c>
      <c r="K109">
        <v>0</v>
      </c>
      <c r="L109" s="2">
        <v>4.8480499999999996E-3</v>
      </c>
      <c r="M109">
        <v>0</v>
      </c>
      <c r="N109" s="2">
        <v>4.8600400000000004E-3</v>
      </c>
      <c r="O109">
        <v>0</v>
      </c>
      <c r="P109" s="4"/>
      <c r="Q109" s="1"/>
      <c r="R109" s="3"/>
      <c r="S109" s="3"/>
    </row>
    <row r="110" spans="1:19" x14ac:dyDescent="0.2">
      <c r="A110" t="s">
        <v>12</v>
      </c>
      <c r="B110" t="s">
        <v>5</v>
      </c>
      <c r="C110">
        <v>100</v>
      </c>
      <c r="D110" s="2">
        <v>4328183</v>
      </c>
      <c r="E110">
        <v>0</v>
      </c>
      <c r="F110" s="2">
        <v>15.2059</v>
      </c>
      <c r="G110">
        <v>0</v>
      </c>
      <c r="H110" s="2">
        <v>7.2110300000000002E-2</v>
      </c>
      <c r="I110">
        <v>0</v>
      </c>
      <c r="J110" s="2">
        <v>6.3993800000000003E-2</v>
      </c>
      <c r="K110">
        <v>0</v>
      </c>
      <c r="L110" s="2">
        <v>4.9481899999999999E-3</v>
      </c>
      <c r="M110">
        <v>0</v>
      </c>
      <c r="N110" s="2">
        <v>4.8788900000000003E-3</v>
      </c>
      <c r="O110">
        <v>0</v>
      </c>
      <c r="P110" s="4"/>
      <c r="Q110" s="1"/>
      <c r="R110" s="3"/>
      <c r="S110" s="3"/>
    </row>
    <row r="111" spans="1:19" x14ac:dyDescent="0.2">
      <c r="A111" t="s">
        <v>12</v>
      </c>
      <c r="B111" t="s">
        <v>5</v>
      </c>
      <c r="C111">
        <v>100</v>
      </c>
      <c r="D111" s="2">
        <v>4341694</v>
      </c>
      <c r="E111">
        <v>0</v>
      </c>
      <c r="F111" s="2">
        <v>15.256500000000001</v>
      </c>
      <c r="G111">
        <v>0</v>
      </c>
      <c r="H111" s="2">
        <v>7.0183200000000001E-2</v>
      </c>
      <c r="I111">
        <v>0</v>
      </c>
      <c r="J111" s="2">
        <v>6.2499300000000001E-2</v>
      </c>
      <c r="K111">
        <v>0</v>
      </c>
      <c r="L111" s="2">
        <v>4.8872200000000003E-3</v>
      </c>
      <c r="M111">
        <v>0</v>
      </c>
      <c r="N111" s="2">
        <v>4.8638500000000003E-3</v>
      </c>
      <c r="O111">
        <v>0</v>
      </c>
      <c r="P111" s="4"/>
      <c r="Q111" s="1"/>
      <c r="R111" s="3"/>
      <c r="S111" s="3"/>
    </row>
    <row r="112" spans="1:19" x14ac:dyDescent="0.2">
      <c r="A112" t="s">
        <v>12</v>
      </c>
      <c r="B112" t="s">
        <v>6</v>
      </c>
      <c r="C112">
        <v>100</v>
      </c>
      <c r="D112">
        <v>4338726</v>
      </c>
      <c r="E112">
        <f t="shared" ref="E112:E121" si="47">(D112-D102)/D102</f>
        <v>-1.4287867342221617E-4</v>
      </c>
      <c r="F112" s="2">
        <v>15.2463</v>
      </c>
      <c r="G112">
        <f t="shared" ref="G112:G121" si="48">(F112-F102)/F102</f>
        <v>3.2795917564221693E-5</v>
      </c>
      <c r="H112" s="2">
        <v>7.0172600000000002E-2</v>
      </c>
      <c r="I112">
        <f t="shared" ref="I112:I121" si="49">(H112-H102)/H102</f>
        <v>-6.4371142359907665E-4</v>
      </c>
      <c r="J112" s="2">
        <v>6.2406900000000001E-2</v>
      </c>
      <c r="K112">
        <f t="shared" ref="K112:K121" si="50">(J112-J102)/J102</f>
        <v>-6.7254987677926067E-4</v>
      </c>
      <c r="L112" s="2">
        <v>4.7978600000000001E-3</v>
      </c>
      <c r="M112">
        <f t="shared" ref="M112:M121" si="51">(L112-L102)/L102</f>
        <v>-4.7935741096874265E-5</v>
      </c>
      <c r="N112" s="2">
        <v>4.8246000000000001E-3</v>
      </c>
      <c r="O112">
        <f t="shared" ref="O112:O121" si="52">(N112-N102)/N102</f>
        <v>-5.5517807129474499E-4</v>
      </c>
      <c r="P112" s="3">
        <v>0.81627899999999998</v>
      </c>
      <c r="Q112" s="3">
        <v>5.5899999999999998E-2</v>
      </c>
      <c r="R112" s="3" t="s">
        <v>47</v>
      </c>
      <c r="S112" s="3" t="s">
        <v>46</v>
      </c>
    </row>
    <row r="113" spans="1:19" x14ac:dyDescent="0.2">
      <c r="A113" t="s">
        <v>12</v>
      </c>
      <c r="B113" t="s">
        <v>6</v>
      </c>
      <c r="C113">
        <v>100</v>
      </c>
      <c r="D113" s="2">
        <v>4334854</v>
      </c>
      <c r="E113">
        <f t="shared" si="47"/>
        <v>-4.7980859327963474E-5</v>
      </c>
      <c r="F113" s="2">
        <v>15.230700000000001</v>
      </c>
      <c r="G113">
        <f t="shared" si="48"/>
        <v>7.2227766980156345E-5</v>
      </c>
      <c r="H113" s="2">
        <v>7.1755899999999997E-2</v>
      </c>
      <c r="I113">
        <f t="shared" si="49"/>
        <v>1.6168531855493049E-4</v>
      </c>
      <c r="J113" s="2">
        <v>6.3480900000000007E-2</v>
      </c>
      <c r="K113">
        <f t="shared" si="50"/>
        <v>-1.2758115579071961E-4</v>
      </c>
      <c r="L113" s="2">
        <v>5.0028399999999997E-3</v>
      </c>
      <c r="M113">
        <f t="shared" si="51"/>
        <v>-8.4480544510063421E-4</v>
      </c>
      <c r="N113" s="2">
        <v>4.9601100000000002E-3</v>
      </c>
      <c r="O113">
        <f t="shared" si="52"/>
        <v>-9.4666261145942001E-4</v>
      </c>
      <c r="P113" s="3"/>
      <c r="Q113" s="3"/>
      <c r="R113" s="3"/>
      <c r="S113" s="3"/>
    </row>
    <row r="114" spans="1:19" x14ac:dyDescent="0.2">
      <c r="A114" t="s">
        <v>12</v>
      </c>
      <c r="B114" t="s">
        <v>6</v>
      </c>
      <c r="C114">
        <v>100</v>
      </c>
      <c r="D114" s="2">
        <v>4340956</v>
      </c>
      <c r="E114">
        <f t="shared" si="47"/>
        <v>-1.1701122017826244E-4</v>
      </c>
      <c r="F114" s="2">
        <v>15.248699999999999</v>
      </c>
      <c r="G114">
        <f t="shared" si="48"/>
        <v>4.5907660020995865E-5</v>
      </c>
      <c r="H114" s="2">
        <v>7.07951E-2</v>
      </c>
      <c r="I114">
        <f t="shared" si="49"/>
        <v>7.7042038094105785E-4</v>
      </c>
      <c r="J114" s="2">
        <v>6.3230499999999995E-2</v>
      </c>
      <c r="K114">
        <f t="shared" si="50"/>
        <v>3.1798564793127592E-4</v>
      </c>
      <c r="L114" s="2">
        <v>4.8629099999999998E-3</v>
      </c>
      <c r="M114">
        <f t="shared" si="51"/>
        <v>-8.8416602581774749E-5</v>
      </c>
      <c r="N114" s="2">
        <v>4.8702700000000003E-3</v>
      </c>
      <c r="O114">
        <f t="shared" si="52"/>
        <v>-3.6957570655647504E-5</v>
      </c>
      <c r="P114" s="3"/>
      <c r="Q114" s="3"/>
      <c r="R114" s="3"/>
      <c r="S114" s="3"/>
    </row>
    <row r="115" spans="1:19" x14ac:dyDescent="0.2">
      <c r="A115" t="s">
        <v>12</v>
      </c>
      <c r="B115" t="s">
        <v>6</v>
      </c>
      <c r="C115">
        <v>100</v>
      </c>
      <c r="D115" s="2">
        <v>4337891</v>
      </c>
      <c r="E115">
        <f t="shared" si="47"/>
        <v>-1.0879679731732914E-4</v>
      </c>
      <c r="F115" s="2">
        <v>15.2416</v>
      </c>
      <c r="G115">
        <f t="shared" si="48"/>
        <v>3.9367495571181549E-5</v>
      </c>
      <c r="H115" s="2">
        <v>7.0884699999999995E-2</v>
      </c>
      <c r="I115">
        <f t="shared" si="49"/>
        <v>1.7269033739620416E-3</v>
      </c>
      <c r="J115" s="2">
        <v>6.3334199999999993E-2</v>
      </c>
      <c r="K115">
        <f t="shared" si="50"/>
        <v>4.4545540707029537E-4</v>
      </c>
      <c r="L115" s="2">
        <v>4.88697E-3</v>
      </c>
      <c r="M115">
        <f t="shared" si="51"/>
        <v>-7.4632664161190343E-4</v>
      </c>
      <c r="N115" s="2">
        <v>4.8825800000000001E-3</v>
      </c>
      <c r="O115">
        <f t="shared" si="52"/>
        <v>-1.4948876888831581E-4</v>
      </c>
      <c r="P115" s="3"/>
      <c r="Q115" s="3"/>
      <c r="R115" s="3"/>
      <c r="S115" s="3"/>
    </row>
    <row r="116" spans="1:19" x14ac:dyDescent="0.2">
      <c r="A116" t="s">
        <v>12</v>
      </c>
      <c r="B116" t="s">
        <v>6</v>
      </c>
      <c r="C116">
        <v>100</v>
      </c>
      <c r="D116" s="2">
        <v>4333897</v>
      </c>
      <c r="E116">
        <f t="shared" si="47"/>
        <v>-1.2758250758458398E-4</v>
      </c>
      <c r="F116" s="2">
        <v>15.232200000000001</v>
      </c>
      <c r="G116">
        <f t="shared" si="48"/>
        <v>2.6260849013304016E-5</v>
      </c>
      <c r="H116" s="2">
        <v>7.1443599999999996E-2</v>
      </c>
      <c r="I116">
        <f t="shared" si="49"/>
        <v>-1.3995096118334135E-4</v>
      </c>
      <c r="J116" s="2">
        <v>6.28803E-2</v>
      </c>
      <c r="K116">
        <f t="shared" si="50"/>
        <v>-1.1131023274958733E-4</v>
      </c>
      <c r="L116" s="2">
        <v>4.9616399999999998E-3</v>
      </c>
      <c r="M116">
        <f t="shared" si="51"/>
        <v>7.4829616392317979E-4</v>
      </c>
      <c r="N116" s="2">
        <v>4.8606999999999999E-3</v>
      </c>
      <c r="O116">
        <f t="shared" si="52"/>
        <v>-1.6458263900113202E-5</v>
      </c>
      <c r="P116" s="3"/>
      <c r="Q116" s="3"/>
      <c r="R116" s="3"/>
      <c r="S116" s="3"/>
    </row>
    <row r="117" spans="1:19" x14ac:dyDescent="0.2">
      <c r="A117" t="s">
        <v>12</v>
      </c>
      <c r="B117" t="s">
        <v>6</v>
      </c>
      <c r="C117">
        <v>100</v>
      </c>
      <c r="D117" s="2">
        <v>4336312</v>
      </c>
      <c r="E117">
        <f t="shared" si="47"/>
        <v>-1.0030559772105682E-4</v>
      </c>
      <c r="F117" s="2">
        <v>15.2338</v>
      </c>
      <c r="G117">
        <f t="shared" si="48"/>
        <v>5.2517560559306234E-5</v>
      </c>
      <c r="H117" s="2">
        <v>7.0530300000000004E-2</v>
      </c>
      <c r="I117">
        <f t="shared" si="49"/>
        <v>0</v>
      </c>
      <c r="J117" s="2">
        <v>6.2305100000000002E-2</v>
      </c>
      <c r="K117">
        <f t="shared" si="50"/>
        <v>-3.2089800096588993E-4</v>
      </c>
      <c r="L117" s="2">
        <v>4.8591800000000003E-3</v>
      </c>
      <c r="M117">
        <f t="shared" si="51"/>
        <v>-4.1157513921463151E-5</v>
      </c>
      <c r="N117" s="2">
        <v>4.86068E-3</v>
      </c>
      <c r="O117">
        <f t="shared" si="52"/>
        <v>-2.0572829875096894E-5</v>
      </c>
      <c r="P117" s="3"/>
      <c r="Q117" s="3"/>
      <c r="R117" s="3"/>
      <c r="S117" s="3"/>
    </row>
    <row r="118" spans="1:19" x14ac:dyDescent="0.2">
      <c r="A118" t="s">
        <v>12</v>
      </c>
      <c r="B118" t="s">
        <v>6</v>
      </c>
      <c r="C118">
        <v>100</v>
      </c>
      <c r="D118" s="2">
        <v>4331198</v>
      </c>
      <c r="E118">
        <f t="shared" si="47"/>
        <v>-1.1011906479595076E-4</v>
      </c>
      <c r="F118" s="2">
        <v>15.223100000000001</v>
      </c>
      <c r="G118">
        <f t="shared" si="48"/>
        <v>4.5984864410352175E-5</v>
      </c>
      <c r="H118" s="2">
        <v>7.1382899999999999E-2</v>
      </c>
      <c r="I118">
        <f t="shared" si="49"/>
        <v>4.2028638314189298E-5</v>
      </c>
      <c r="J118" s="2">
        <v>6.3967599999999999E-2</v>
      </c>
      <c r="K118">
        <f t="shared" si="50"/>
        <v>-2.3287617707964286E-4</v>
      </c>
      <c r="L118" s="2">
        <v>4.78766E-3</v>
      </c>
      <c r="M118">
        <f t="shared" si="51"/>
        <v>-1.6369478950101694E-3</v>
      </c>
      <c r="N118" s="2">
        <v>4.79686E-3</v>
      </c>
      <c r="O118">
        <f t="shared" si="52"/>
        <v>-5.9170364814459524E-4</v>
      </c>
      <c r="P118" s="3"/>
      <c r="Q118" s="3"/>
      <c r="R118" s="3"/>
      <c r="S118" s="3"/>
    </row>
    <row r="119" spans="1:19" x14ac:dyDescent="0.2">
      <c r="A119" t="s">
        <v>12</v>
      </c>
      <c r="B119" t="s">
        <v>6</v>
      </c>
      <c r="C119">
        <v>100</v>
      </c>
      <c r="D119" s="2">
        <v>4328214</v>
      </c>
      <c r="E119">
        <f t="shared" si="47"/>
        <v>-6.376357575043491E-5</v>
      </c>
      <c r="F119" s="2">
        <v>15.2149</v>
      </c>
      <c r="G119">
        <f t="shared" si="48"/>
        <v>9.859728923186512E-5</v>
      </c>
      <c r="H119" s="2">
        <v>7.1290000000000006E-2</v>
      </c>
      <c r="I119">
        <f t="shared" si="49"/>
        <v>-1.8933151949062279E-4</v>
      </c>
      <c r="J119" s="2">
        <v>6.3159000000000007E-2</v>
      </c>
      <c r="K119">
        <f t="shared" si="50"/>
        <v>-9.0240276610153663E-5</v>
      </c>
      <c r="L119" s="2">
        <v>4.8479500000000002E-3</v>
      </c>
      <c r="M119">
        <f t="shared" si="51"/>
        <v>-2.0626849970484243E-5</v>
      </c>
      <c r="N119" s="2">
        <v>4.7996999999999996E-3</v>
      </c>
      <c r="O119">
        <f t="shared" si="52"/>
        <v>-1.2415535674603653E-2</v>
      </c>
      <c r="P119" s="3"/>
      <c r="Q119" s="3"/>
      <c r="R119" s="3"/>
      <c r="S119" s="3"/>
    </row>
    <row r="120" spans="1:19" x14ac:dyDescent="0.2">
      <c r="A120" t="s">
        <v>12</v>
      </c>
      <c r="B120" t="s">
        <v>6</v>
      </c>
      <c r="C120">
        <v>100</v>
      </c>
      <c r="D120" s="2">
        <v>4327937</v>
      </c>
      <c r="E120">
        <f t="shared" si="47"/>
        <v>-5.6836783472417872E-5</v>
      </c>
      <c r="F120" s="2">
        <v>15.207000000000001</v>
      </c>
      <c r="G120">
        <f t="shared" si="48"/>
        <v>7.2340341578005195E-5</v>
      </c>
      <c r="H120" s="2">
        <v>7.21305E-2</v>
      </c>
      <c r="I120">
        <f t="shared" si="49"/>
        <v>2.8012641744657834E-4</v>
      </c>
      <c r="J120" s="2">
        <v>6.3988199999999995E-2</v>
      </c>
      <c r="K120">
        <f t="shared" si="50"/>
        <v>-8.750847738387744E-5</v>
      </c>
      <c r="L120" s="2">
        <v>4.9479399999999996E-3</v>
      </c>
      <c r="M120">
        <f t="shared" si="51"/>
        <v>-5.052352476365096E-5</v>
      </c>
      <c r="N120" s="2">
        <v>4.8779899999999996E-3</v>
      </c>
      <c r="O120">
        <f t="shared" si="52"/>
        <v>-1.8446818846104885E-4</v>
      </c>
      <c r="P120" s="3"/>
      <c r="Q120" s="3"/>
      <c r="R120" s="3"/>
      <c r="S120" s="3"/>
    </row>
    <row r="121" spans="1:19" x14ac:dyDescent="0.2">
      <c r="A121" t="s">
        <v>12</v>
      </c>
      <c r="B121" t="s">
        <v>6</v>
      </c>
      <c r="C121">
        <v>100</v>
      </c>
      <c r="D121" s="2">
        <v>4341153</v>
      </c>
      <c r="E121">
        <f t="shared" si="47"/>
        <v>-1.2460574144562009E-4</v>
      </c>
      <c r="F121" s="2">
        <v>15.2569</v>
      </c>
      <c r="G121">
        <f t="shared" si="48"/>
        <v>2.6218333169407646E-5</v>
      </c>
      <c r="H121" s="2">
        <v>7.0076299999999994E-2</v>
      </c>
      <c r="I121">
        <f t="shared" si="49"/>
        <v>-1.5231565388868988E-3</v>
      </c>
      <c r="J121" s="2">
        <v>6.2451399999999997E-2</v>
      </c>
      <c r="K121">
        <f t="shared" si="50"/>
        <v>-7.6640858377619416E-4</v>
      </c>
      <c r="L121" s="2">
        <v>4.8898700000000002E-3</v>
      </c>
      <c r="M121">
        <f t="shared" si="51"/>
        <v>5.4223055233852267E-4</v>
      </c>
      <c r="N121" s="2">
        <v>4.86419E-3</v>
      </c>
      <c r="O121">
        <f t="shared" si="52"/>
        <v>6.9903471529696743E-5</v>
      </c>
      <c r="P121" s="3"/>
      <c r="Q121" s="3"/>
      <c r="R121" s="3"/>
      <c r="S121" s="3"/>
    </row>
    <row r="122" spans="1:19" x14ac:dyDescent="0.2">
      <c r="A122" t="s">
        <v>12</v>
      </c>
      <c r="B122" t="s">
        <v>7</v>
      </c>
      <c r="C122">
        <v>100</v>
      </c>
      <c r="D122">
        <v>4338276</v>
      </c>
      <c r="E122">
        <f t="shared" ref="E122:E131" si="53">(D122-D102)/D102</f>
        <v>-2.4658093638995368E-4</v>
      </c>
      <c r="F122" s="2">
        <v>15.246700000000001</v>
      </c>
      <c r="G122">
        <f t="shared" ref="G122:G131" si="54">(F122-F102)/F102</f>
        <v>5.9032651615622354E-5</v>
      </c>
      <c r="H122" s="2">
        <v>7.0152699999999998E-2</v>
      </c>
      <c r="I122">
        <f t="shared" ref="I122:I131" si="55">(H122-H102)/H102</f>
        <v>-9.2711534682087015E-4</v>
      </c>
      <c r="J122" s="2">
        <v>6.2400900000000002E-2</v>
      </c>
      <c r="K122">
        <f t="shared" ref="K122:K131" si="56">(J122-J102)/J102</f>
        <v>-7.6862843060485346E-4</v>
      </c>
      <c r="L122" s="2">
        <v>4.8002599999999998E-3</v>
      </c>
      <c r="M122">
        <f t="shared" ref="M122:M131" si="57">(L122-L102)/L102</f>
        <v>4.522632964367328E-4</v>
      </c>
      <c r="N122" s="2">
        <v>4.8254400000000003E-3</v>
      </c>
      <c r="O122">
        <f t="shared" ref="O122:O131" si="58">(N122-N102)/N102</f>
        <v>-3.8116703402319341E-4</v>
      </c>
      <c r="P122" s="3">
        <v>0.81614399999999998</v>
      </c>
      <c r="Q122" s="3">
        <v>5.5399999999999998E-2</v>
      </c>
      <c r="R122" s="3" t="s">
        <v>48</v>
      </c>
      <c r="S122" s="3" t="s">
        <v>49</v>
      </c>
    </row>
    <row r="123" spans="1:19" x14ac:dyDescent="0.2">
      <c r="A123" t="s">
        <v>12</v>
      </c>
      <c r="B123" t="s">
        <v>7</v>
      </c>
      <c r="C123">
        <v>100</v>
      </c>
      <c r="D123" s="2">
        <v>4334127</v>
      </c>
      <c r="E123">
        <f t="shared" si="53"/>
        <v>-2.1568318976752812E-4</v>
      </c>
      <c r="F123" s="2">
        <v>15.230700000000001</v>
      </c>
      <c r="G123">
        <f t="shared" si="54"/>
        <v>7.2227766980156345E-5</v>
      </c>
      <c r="H123" s="2">
        <v>7.1664199999999997E-2</v>
      </c>
      <c r="I123">
        <f t="shared" si="55"/>
        <v>-1.1164650014008029E-3</v>
      </c>
      <c r="J123" s="2">
        <v>6.3444399999999998E-2</v>
      </c>
      <c r="K123">
        <f t="shared" si="56"/>
        <v>-7.0248389484801692E-4</v>
      </c>
      <c r="L123" s="2">
        <v>5.0001999999999998E-3</v>
      </c>
      <c r="M123">
        <f t="shared" si="57"/>
        <v>-1.3720599072910838E-3</v>
      </c>
      <c r="N123" s="2">
        <v>4.9588999999999996E-3</v>
      </c>
      <c r="O123">
        <f t="shared" si="58"/>
        <v>-1.1903778795161271E-3</v>
      </c>
      <c r="P123" s="3"/>
      <c r="Q123" s="3"/>
      <c r="R123" s="3"/>
      <c r="S123" s="3"/>
    </row>
    <row r="124" spans="1:19" x14ac:dyDescent="0.2">
      <c r="A124" t="s">
        <v>12</v>
      </c>
      <c r="B124" t="s">
        <v>7</v>
      </c>
      <c r="C124">
        <v>100</v>
      </c>
      <c r="D124" s="2">
        <v>4340298</v>
      </c>
      <c r="E124">
        <f t="shared" si="53"/>
        <v>-2.6857299749577561E-4</v>
      </c>
      <c r="F124" s="2">
        <v>15.2486</v>
      </c>
      <c r="G124">
        <f t="shared" si="54"/>
        <v>3.9349422875155959E-5</v>
      </c>
      <c r="H124" s="2">
        <v>7.0805300000000002E-2</v>
      </c>
      <c r="I124">
        <f t="shared" si="55"/>
        <v>9.1460914948418397E-4</v>
      </c>
      <c r="J124" s="2">
        <v>6.3232999999999998E-2</v>
      </c>
      <c r="K124">
        <f t="shared" si="56"/>
        <v>3.5753610165412055E-4</v>
      </c>
      <c r="L124" s="2">
        <v>4.8622500000000003E-3</v>
      </c>
      <c r="M124">
        <f t="shared" si="57"/>
        <v>-2.2412580654439094E-4</v>
      </c>
      <c r="N124" s="2">
        <v>4.8694100000000002E-3</v>
      </c>
      <c r="O124">
        <f t="shared" si="58"/>
        <v>-2.1353263045506988E-4</v>
      </c>
      <c r="P124" s="3"/>
      <c r="Q124" s="3"/>
      <c r="R124" s="3"/>
      <c r="S124" s="3"/>
    </row>
    <row r="125" spans="1:19" x14ac:dyDescent="0.2">
      <c r="A125" t="s">
        <v>12</v>
      </c>
      <c r="B125" t="s">
        <v>7</v>
      </c>
      <c r="C125">
        <v>100</v>
      </c>
      <c r="D125" s="2">
        <v>4337127</v>
      </c>
      <c r="E125">
        <f t="shared" si="53"/>
        <v>-2.849000878902941E-4</v>
      </c>
      <c r="F125" s="2">
        <v>15.241300000000001</v>
      </c>
      <c r="G125">
        <f t="shared" si="54"/>
        <v>1.968374778564905E-5</v>
      </c>
      <c r="H125" s="2">
        <v>7.0862499999999995E-2</v>
      </c>
      <c r="I125">
        <f t="shared" si="55"/>
        <v>1.4131778837659632E-3</v>
      </c>
      <c r="J125" s="2">
        <v>6.3320500000000002E-2</v>
      </c>
      <c r="K125">
        <f t="shared" si="56"/>
        <v>2.2904621994756616E-4</v>
      </c>
      <c r="L125" s="2">
        <v>4.8904300000000003E-3</v>
      </c>
      <c r="M125">
        <f t="shared" si="57"/>
        <v>-3.8849879974264816E-5</v>
      </c>
      <c r="N125" s="2">
        <v>4.8836699999999997E-3</v>
      </c>
      <c r="O125">
        <f t="shared" si="58"/>
        <v>7.3720488766757948E-5</v>
      </c>
      <c r="P125" s="3"/>
      <c r="Q125" s="3"/>
      <c r="R125" s="3"/>
      <c r="S125" s="3"/>
    </row>
    <row r="126" spans="1:19" x14ac:dyDescent="0.2">
      <c r="A126" t="s">
        <v>12</v>
      </c>
      <c r="B126" t="s">
        <v>7</v>
      </c>
      <c r="C126">
        <v>100</v>
      </c>
      <c r="D126" s="2">
        <v>4333261</v>
      </c>
      <c r="E126">
        <f t="shared" si="53"/>
        <v>-2.7431392679578724E-4</v>
      </c>
      <c r="F126" s="2">
        <v>15.2326</v>
      </c>
      <c r="G126">
        <f t="shared" si="54"/>
        <v>5.2521698026491413E-5</v>
      </c>
      <c r="H126" s="2">
        <v>7.1439699999999995E-2</v>
      </c>
      <c r="I126">
        <f t="shared" si="55"/>
        <v>-1.9453183604480564E-4</v>
      </c>
      <c r="J126" s="2">
        <v>6.2871399999999994E-2</v>
      </c>
      <c r="K126">
        <f t="shared" si="56"/>
        <v>-2.5283324296001338E-4</v>
      </c>
      <c r="L126" s="2">
        <v>4.9582100000000002E-3</v>
      </c>
      <c r="M126">
        <f t="shared" si="57"/>
        <v>5.6475182182901303E-5</v>
      </c>
      <c r="N126" s="2">
        <v>4.8605499999999999E-3</v>
      </c>
      <c r="O126">
        <f t="shared" si="58"/>
        <v>-4.7317508712669321E-5</v>
      </c>
      <c r="P126" s="3"/>
      <c r="Q126" s="3"/>
      <c r="R126" s="3"/>
      <c r="S126" s="3"/>
    </row>
    <row r="127" spans="1:19" x14ac:dyDescent="0.2">
      <c r="A127" t="s">
        <v>12</v>
      </c>
      <c r="B127" t="s">
        <v>7</v>
      </c>
      <c r="C127">
        <v>100</v>
      </c>
      <c r="D127" s="2">
        <v>4335751</v>
      </c>
      <c r="E127">
        <f t="shared" si="53"/>
        <v>-2.2966523064407493E-4</v>
      </c>
      <c r="F127" s="2">
        <v>15.233700000000001</v>
      </c>
      <c r="G127">
        <f t="shared" si="54"/>
        <v>4.5952865489407528E-5</v>
      </c>
      <c r="H127" s="2">
        <v>7.0571499999999995E-2</v>
      </c>
      <c r="I127">
        <f t="shared" si="55"/>
        <v>5.8414610458187811E-4</v>
      </c>
      <c r="J127" s="2">
        <v>6.23212E-2</v>
      </c>
      <c r="K127">
        <f t="shared" si="56"/>
        <v>-6.2575110188369134E-5</v>
      </c>
      <c r="L127" s="2">
        <v>4.8671000000000001E-3</v>
      </c>
      <c r="M127">
        <f t="shared" si="57"/>
        <v>1.588680037371048E-3</v>
      </c>
      <c r="N127" s="2">
        <v>4.8263400000000001E-3</v>
      </c>
      <c r="O127">
        <f t="shared" si="58"/>
        <v>-7.0852826089640268E-3</v>
      </c>
      <c r="P127" s="3"/>
      <c r="Q127" s="3"/>
      <c r="R127" s="3"/>
      <c r="S127" s="3"/>
    </row>
    <row r="128" spans="1:19" x14ac:dyDescent="0.2">
      <c r="A128" t="s">
        <v>12</v>
      </c>
      <c r="B128" t="s">
        <v>7</v>
      </c>
      <c r="C128">
        <v>100</v>
      </c>
      <c r="D128" s="2">
        <v>4330739</v>
      </c>
      <c r="E128">
        <f t="shared" si="53"/>
        <v>-2.1608269318450715E-4</v>
      </c>
      <c r="F128" s="2">
        <v>15.224</v>
      </c>
      <c r="G128">
        <f t="shared" si="54"/>
        <v>1.0510826150934305E-4</v>
      </c>
      <c r="H128" s="2">
        <v>7.13477E-2</v>
      </c>
      <c r="I128">
        <f t="shared" si="55"/>
        <v>-4.5110738457179294E-4</v>
      </c>
      <c r="J128" s="2">
        <v>6.3940800000000006E-2</v>
      </c>
      <c r="K128">
        <f t="shared" si="56"/>
        <v>-6.5174071035035747E-4</v>
      </c>
      <c r="L128" s="2">
        <v>4.7914100000000003E-3</v>
      </c>
      <c r="M128">
        <f t="shared" si="57"/>
        <v>-8.5496641650208984E-4</v>
      </c>
      <c r="N128" s="2">
        <v>4.79861E-3</v>
      </c>
      <c r="O128">
        <f t="shared" si="58"/>
        <v>-2.2709752692868271E-4</v>
      </c>
      <c r="P128" s="3"/>
      <c r="Q128" s="3"/>
      <c r="R128" s="3"/>
      <c r="S128" s="3"/>
    </row>
    <row r="129" spans="1:19" x14ac:dyDescent="0.2">
      <c r="A129" t="s">
        <v>12</v>
      </c>
      <c r="B129" t="s">
        <v>7</v>
      </c>
      <c r="C129">
        <v>100</v>
      </c>
      <c r="D129" s="2">
        <v>4327526</v>
      </c>
      <c r="E129">
        <f t="shared" si="53"/>
        <v>-2.2271046022977989E-4</v>
      </c>
      <c r="F129" s="2">
        <v>15.215199999999999</v>
      </c>
      <c r="G129">
        <f t="shared" si="54"/>
        <v>1.1831674707819143E-4</v>
      </c>
      <c r="H129" s="2">
        <v>7.1272600000000005E-2</v>
      </c>
      <c r="I129">
        <f t="shared" si="55"/>
        <v>-4.3335881127855389E-4</v>
      </c>
      <c r="J129" s="2">
        <v>6.3130000000000006E-2</v>
      </c>
      <c r="K129">
        <f t="shared" si="56"/>
        <v>-5.4935747339888606E-4</v>
      </c>
      <c r="L129" s="2">
        <v>4.8582599999999997E-3</v>
      </c>
      <c r="M129">
        <f t="shared" si="57"/>
        <v>2.1060013819989647E-3</v>
      </c>
      <c r="N129" s="2">
        <v>4.8618999999999997E-3</v>
      </c>
      <c r="O129">
        <f t="shared" si="58"/>
        <v>3.8271289948217749E-4</v>
      </c>
      <c r="P129" s="3"/>
      <c r="Q129" s="3"/>
      <c r="R129" s="3"/>
      <c r="S129" s="3"/>
    </row>
    <row r="130" spans="1:19" x14ac:dyDescent="0.2">
      <c r="A130" t="s">
        <v>12</v>
      </c>
      <c r="B130" t="s">
        <v>7</v>
      </c>
      <c r="C130">
        <v>100</v>
      </c>
      <c r="D130" s="2">
        <v>4327358</v>
      </c>
      <c r="E130">
        <f t="shared" si="53"/>
        <v>-1.9061116408432822E-4</v>
      </c>
      <c r="F130" s="2">
        <v>15.207599999999999</v>
      </c>
      <c r="G130">
        <f t="shared" si="54"/>
        <v>1.1179870971133513E-4</v>
      </c>
      <c r="H130" s="2">
        <v>7.2164400000000004E-2</v>
      </c>
      <c r="I130">
        <f t="shared" si="55"/>
        <v>7.5023956355751357E-4</v>
      </c>
      <c r="J130" s="2">
        <v>6.3991099999999995E-2</v>
      </c>
      <c r="K130">
        <f t="shared" si="56"/>
        <v>-4.2191587310149593E-5</v>
      </c>
      <c r="L130" s="2">
        <v>4.9406099999999998E-3</v>
      </c>
      <c r="M130">
        <f t="shared" si="57"/>
        <v>-1.5318732708323826E-3</v>
      </c>
      <c r="N130" s="2">
        <v>4.8764100000000003E-3</v>
      </c>
      <c r="O130">
        <f t="shared" si="58"/>
        <v>-5.0831234153670541E-4</v>
      </c>
      <c r="P130" s="3"/>
      <c r="Q130" s="3"/>
      <c r="R130" s="3"/>
      <c r="S130" s="3"/>
    </row>
    <row r="131" spans="1:19" x14ac:dyDescent="0.2">
      <c r="A131" t="s">
        <v>12</v>
      </c>
      <c r="B131" t="s">
        <v>7</v>
      </c>
      <c r="C131">
        <v>100</v>
      </c>
      <c r="D131" s="2">
        <v>4340644</v>
      </c>
      <c r="E131">
        <f t="shared" si="53"/>
        <v>-2.4184108783345854E-4</v>
      </c>
      <c r="F131" s="2">
        <v>15.256600000000001</v>
      </c>
      <c r="G131">
        <f t="shared" si="54"/>
        <v>6.5545832923519115E-6</v>
      </c>
      <c r="H131" s="2">
        <v>7.0105600000000004E-2</v>
      </c>
      <c r="I131">
        <f t="shared" si="55"/>
        <v>-1.1056777120450067E-3</v>
      </c>
      <c r="J131" s="2">
        <v>6.2457699999999998E-2</v>
      </c>
      <c r="K131">
        <f t="shared" si="56"/>
        <v>-6.6560745480353774E-4</v>
      </c>
      <c r="L131" s="2">
        <v>4.88288E-3</v>
      </c>
      <c r="M131">
        <f t="shared" si="57"/>
        <v>-8.8803041401865404E-4</v>
      </c>
      <c r="N131" s="2">
        <v>4.8607299999999997E-3</v>
      </c>
      <c r="O131">
        <f t="shared" si="58"/>
        <v>-6.414671505084558E-4</v>
      </c>
      <c r="P131" s="3"/>
      <c r="Q131" s="3"/>
      <c r="R131" s="3"/>
      <c r="S131" s="3"/>
    </row>
    <row r="132" spans="1:19" x14ac:dyDescent="0.2">
      <c r="A132" t="s">
        <v>12</v>
      </c>
      <c r="B132" t="s">
        <v>8</v>
      </c>
      <c r="C132">
        <v>100</v>
      </c>
      <c r="D132">
        <v>4337360</v>
      </c>
      <c r="E132">
        <f t="shared" ref="E132:E141" si="59">(D132-D102)/D102</f>
        <v>-4.5767265389761499E-4</v>
      </c>
      <c r="F132" s="2">
        <v>15.2461</v>
      </c>
      <c r="G132">
        <f t="shared" ref="G132:G141" si="60">(F132-F102)/F102</f>
        <v>1.9677550538579621E-5</v>
      </c>
      <c r="H132" s="2">
        <v>7.0160700000000006E-2</v>
      </c>
      <c r="I132">
        <f t="shared" ref="I132:I141" si="61">(H132-H102)/H102</f>
        <v>-8.1318412140497841E-4</v>
      </c>
      <c r="J132" s="2">
        <v>6.2405200000000001E-2</v>
      </c>
      <c r="K132">
        <f t="shared" ref="K132:K141" si="62">(J132-J102)/J102</f>
        <v>-6.9977213369652117E-4</v>
      </c>
      <c r="L132" s="2">
        <v>4.7985099999999998E-3</v>
      </c>
      <c r="M132">
        <f t="shared" ref="M132:M141" si="63">(L132-L102)/L102</f>
        <v>8.7534831568417389E-5</v>
      </c>
      <c r="N132" s="2">
        <v>4.8245900000000001E-3</v>
      </c>
      <c r="O132">
        <f t="shared" ref="O132:O141" si="64">(N132-N102)/N102</f>
        <v>-5.5724963126225059E-4</v>
      </c>
      <c r="P132" s="3">
        <v>0.81585799999999997</v>
      </c>
      <c r="Q132" s="3">
        <v>5.4899999999999997E-2</v>
      </c>
      <c r="R132" s="3" t="s">
        <v>50</v>
      </c>
      <c r="S132" s="3" t="s">
        <v>49</v>
      </c>
    </row>
    <row r="133" spans="1:19" x14ac:dyDescent="0.2">
      <c r="A133" t="s">
        <v>12</v>
      </c>
      <c r="B133" t="s">
        <v>8</v>
      </c>
      <c r="C133">
        <v>100</v>
      </c>
      <c r="D133" s="2">
        <v>4333446</v>
      </c>
      <c r="E133">
        <f t="shared" si="59"/>
        <v>-3.7277436862494701E-4</v>
      </c>
      <c r="F133" s="2">
        <v>15.2308</v>
      </c>
      <c r="G133">
        <f t="shared" si="60"/>
        <v>7.8793927614694803E-5</v>
      </c>
      <c r="H133" s="2">
        <v>7.1666199999999999E-2</v>
      </c>
      <c r="I133">
        <f t="shared" si="61"/>
        <v>-1.0885882223395814E-3</v>
      </c>
      <c r="J133" s="2">
        <v>6.3440099999999999E-2</v>
      </c>
      <c r="K133">
        <f t="shared" si="62"/>
        <v>-7.7021216273692283E-4</v>
      </c>
      <c r="L133" s="2">
        <v>5.0012800000000003E-3</v>
      </c>
      <c r="M133">
        <f t="shared" si="63"/>
        <v>-1.1563649000312442E-3</v>
      </c>
      <c r="N133" s="2">
        <v>4.9619299999999998E-3</v>
      </c>
      <c r="O133">
        <f t="shared" si="64"/>
        <v>-5.8008262149009603E-4</v>
      </c>
      <c r="P133" s="3"/>
      <c r="Q133" s="3"/>
      <c r="R133" s="3"/>
      <c r="S133" s="3"/>
    </row>
    <row r="134" spans="1:19" x14ac:dyDescent="0.2">
      <c r="A134" t="s">
        <v>12</v>
      </c>
      <c r="B134" t="s">
        <v>8</v>
      </c>
      <c r="C134">
        <v>100</v>
      </c>
      <c r="D134" s="2">
        <v>4339289</v>
      </c>
      <c r="E134">
        <f t="shared" si="59"/>
        <v>-5.0098307851913551E-4</v>
      </c>
      <c r="F134" s="2">
        <v>15.2479</v>
      </c>
      <c r="G134">
        <f t="shared" si="60"/>
        <v>-6.5582371458399099E-6</v>
      </c>
      <c r="H134" s="2">
        <v>7.0814299999999997E-2</v>
      </c>
      <c r="I134">
        <f t="shared" si="61"/>
        <v>1.0418345334927324E-3</v>
      </c>
      <c r="J134" s="2">
        <v>6.3234799999999994E-2</v>
      </c>
      <c r="K134">
        <f t="shared" si="62"/>
        <v>3.8601242833448087E-4</v>
      </c>
      <c r="L134" s="2">
        <v>4.8555100000000004E-3</v>
      </c>
      <c r="M134">
        <f t="shared" si="63"/>
        <v>-1.6100046470120266E-3</v>
      </c>
      <c r="N134" s="2">
        <v>4.8672400000000001E-3</v>
      </c>
      <c r="O134">
        <f t="shared" si="64"/>
        <v>-6.5907667669312241E-4</v>
      </c>
      <c r="P134" s="3"/>
      <c r="Q134" s="3"/>
      <c r="R134" s="3"/>
      <c r="S134" s="3"/>
    </row>
    <row r="135" spans="1:19" x14ac:dyDescent="0.2">
      <c r="A135" t="s">
        <v>12</v>
      </c>
      <c r="B135" t="s">
        <v>8</v>
      </c>
      <c r="C135">
        <v>100</v>
      </c>
      <c r="D135" s="2">
        <v>4336310</v>
      </c>
      <c r="E135">
        <f t="shared" si="59"/>
        <v>-4.7321996799253545E-4</v>
      </c>
      <c r="F135" s="2">
        <v>15.2408</v>
      </c>
      <c r="G135">
        <f t="shared" si="60"/>
        <v>-1.3122498523688333E-5</v>
      </c>
      <c r="H135" s="2">
        <v>7.0832300000000001E-2</v>
      </c>
      <c r="I135">
        <f t="shared" si="61"/>
        <v>9.8639816286867849E-4</v>
      </c>
      <c r="J135" s="2">
        <v>6.3312400000000005E-2</v>
      </c>
      <c r="K135">
        <f t="shared" si="62"/>
        <v>1.0109626259759935E-4</v>
      </c>
      <c r="L135" s="2">
        <v>4.8909899999999996E-3</v>
      </c>
      <c r="M135">
        <f t="shared" si="63"/>
        <v>7.5655029423577662E-5</v>
      </c>
      <c r="N135" s="2">
        <v>4.8836299999999999E-3</v>
      </c>
      <c r="O135">
        <f t="shared" si="64"/>
        <v>6.5529323348268763E-5</v>
      </c>
      <c r="P135" s="3"/>
      <c r="Q135" s="3"/>
      <c r="R135" s="3"/>
      <c r="S135" s="3"/>
    </row>
    <row r="136" spans="1:19" x14ac:dyDescent="0.2">
      <c r="A136" t="s">
        <v>12</v>
      </c>
      <c r="B136" t="s">
        <v>8</v>
      </c>
      <c r="C136">
        <v>100</v>
      </c>
      <c r="D136" s="2">
        <v>4332493</v>
      </c>
      <c r="E136">
        <f t="shared" si="59"/>
        <v>-4.5149903678667419E-4</v>
      </c>
      <c r="F136" s="2">
        <v>15.2326</v>
      </c>
      <c r="G136">
        <f t="shared" si="60"/>
        <v>5.2521698026491413E-5</v>
      </c>
      <c r="H136" s="2">
        <v>7.1417099999999997E-2</v>
      </c>
      <c r="I136">
        <f t="shared" si="61"/>
        <v>-5.1082100831880751E-4</v>
      </c>
      <c r="J136" s="2">
        <v>6.2854300000000002E-2</v>
      </c>
      <c r="K136">
        <f t="shared" si="62"/>
        <v>-5.2474824010557573E-4</v>
      </c>
      <c r="L136" s="2">
        <v>4.9566599999999999E-3</v>
      </c>
      <c r="M136">
        <f t="shared" si="63"/>
        <v>-2.5615529061528985E-4</v>
      </c>
      <c r="N136" s="2">
        <v>4.8607600000000004E-3</v>
      </c>
      <c r="O136">
        <f t="shared" si="64"/>
        <v>-4.1145659749836907E-6</v>
      </c>
      <c r="P136" s="3"/>
      <c r="Q136" s="3"/>
      <c r="R136" s="3"/>
      <c r="S136" s="3"/>
    </row>
    <row r="137" spans="1:19" x14ac:dyDescent="0.2">
      <c r="A137" t="s">
        <v>12</v>
      </c>
      <c r="B137" t="s">
        <v>8</v>
      </c>
      <c r="C137">
        <v>100</v>
      </c>
      <c r="D137" s="2">
        <v>4335046</v>
      </c>
      <c r="E137">
        <f t="shared" si="59"/>
        <v>-3.9222947522647738E-4</v>
      </c>
      <c r="F137" s="2">
        <v>15.2333</v>
      </c>
      <c r="G137">
        <f t="shared" si="60"/>
        <v>1.9694085209696109E-5</v>
      </c>
      <c r="H137" s="2">
        <v>7.0543900000000007E-2</v>
      </c>
      <c r="I137">
        <f t="shared" si="61"/>
        <v>1.9282492772613327E-4</v>
      </c>
      <c r="J137" s="2">
        <v>6.23096E-2</v>
      </c>
      <c r="K137">
        <f t="shared" si="62"/>
        <v>-2.4869595074860084E-4</v>
      </c>
      <c r="L137" s="2">
        <v>4.8540900000000001E-3</v>
      </c>
      <c r="M137">
        <f t="shared" si="63"/>
        <v>-1.088616243224405E-3</v>
      </c>
      <c r="N137" s="2">
        <v>4.8203200000000003E-3</v>
      </c>
      <c r="O137">
        <f t="shared" si="64"/>
        <v>-8.3237669674414341E-3</v>
      </c>
      <c r="P137" s="3"/>
      <c r="Q137" s="3"/>
      <c r="R137" s="3"/>
      <c r="S137" s="3"/>
    </row>
    <row r="138" spans="1:19" x14ac:dyDescent="0.2">
      <c r="A138" t="s">
        <v>12</v>
      </c>
      <c r="B138" t="s">
        <v>8</v>
      </c>
      <c r="C138">
        <v>100</v>
      </c>
      <c r="D138" s="2">
        <v>4329682</v>
      </c>
      <c r="E138">
        <f t="shared" si="59"/>
        <v>-4.6009915332983201E-4</v>
      </c>
      <c r="F138" s="2">
        <v>15.223599999999999</v>
      </c>
      <c r="G138">
        <f t="shared" si="60"/>
        <v>7.8831196131948943E-5</v>
      </c>
      <c r="H138" s="2">
        <v>7.1339100000000003E-2</v>
      </c>
      <c r="I138">
        <f t="shared" si="61"/>
        <v>-5.7158948107231334E-4</v>
      </c>
      <c r="J138" s="2">
        <v>6.3937099999999997E-2</v>
      </c>
      <c r="K138">
        <f t="shared" si="62"/>
        <v>-7.0956902277968185E-4</v>
      </c>
      <c r="L138" s="2">
        <v>4.7924400000000002E-3</v>
      </c>
      <c r="M138">
        <f t="shared" si="63"/>
        <v>-6.4018217040522952E-4</v>
      </c>
      <c r="N138" s="2">
        <v>4.7991800000000001E-3</v>
      </c>
      <c r="O138">
        <f t="shared" si="64"/>
        <v>-1.0834010458976893E-4</v>
      </c>
      <c r="P138" s="3"/>
      <c r="Q138" s="3"/>
      <c r="R138" s="3"/>
      <c r="S138" s="3"/>
    </row>
    <row r="139" spans="1:19" x14ac:dyDescent="0.2">
      <c r="A139" t="s">
        <v>12</v>
      </c>
      <c r="B139" t="s">
        <v>8</v>
      </c>
      <c r="C139">
        <v>100</v>
      </c>
      <c r="D139" s="2">
        <v>4326860</v>
      </c>
      <c r="E139">
        <f t="shared" si="59"/>
        <v>-3.7657474084495978E-4</v>
      </c>
      <c r="F139" s="2">
        <v>15.2151</v>
      </c>
      <c r="G139">
        <f t="shared" si="60"/>
        <v>1.1174359446274933E-4</v>
      </c>
      <c r="H139" s="2">
        <v>7.1314500000000003E-2</v>
      </c>
      <c r="I139">
        <f t="shared" si="61"/>
        <v>1.5427012699232326E-4</v>
      </c>
      <c r="J139" s="2">
        <v>6.3142599999999993E-2</v>
      </c>
      <c r="K139">
        <f t="shared" si="62"/>
        <v>-3.4987896720812411E-4</v>
      </c>
      <c r="L139" s="2">
        <v>4.85383E-3</v>
      </c>
      <c r="M139">
        <f t="shared" si="63"/>
        <v>1.1922319283011456E-3</v>
      </c>
      <c r="N139" s="2">
        <v>4.8583300000000001E-3</v>
      </c>
      <c r="O139">
        <f t="shared" si="64"/>
        <v>-3.5184895597572299E-4</v>
      </c>
      <c r="P139" s="3"/>
      <c r="Q139" s="3"/>
      <c r="R139" s="3"/>
      <c r="S139" s="3"/>
    </row>
    <row r="140" spans="1:19" x14ac:dyDescent="0.2">
      <c r="A140" t="s">
        <v>12</v>
      </c>
      <c r="B140" t="s">
        <v>8</v>
      </c>
      <c r="C140">
        <v>100</v>
      </c>
      <c r="D140" s="2">
        <v>4326685</v>
      </c>
      <c r="E140">
        <f t="shared" si="59"/>
        <v>-3.4610366521008933E-4</v>
      </c>
      <c r="F140" s="2">
        <v>15.2079</v>
      </c>
      <c r="G140">
        <f t="shared" si="60"/>
        <v>1.3152789377811691E-4</v>
      </c>
      <c r="H140" s="2">
        <v>7.2212600000000002E-2</v>
      </c>
      <c r="I140">
        <f t="shared" si="61"/>
        <v>1.4186600249894898E-3</v>
      </c>
      <c r="J140" s="2">
        <v>6.4008599999999999E-2</v>
      </c>
      <c r="K140">
        <f t="shared" si="62"/>
        <v>2.31272404514115E-4</v>
      </c>
      <c r="L140" s="2">
        <v>4.9286900000000003E-3</v>
      </c>
      <c r="M140">
        <f t="shared" si="63"/>
        <v>-3.9408349315607433E-3</v>
      </c>
      <c r="N140" s="2">
        <v>4.8716999999999996E-3</v>
      </c>
      <c r="O140">
        <f t="shared" si="64"/>
        <v>-1.4736958611488817E-3</v>
      </c>
      <c r="P140" s="3"/>
      <c r="Q140" s="3"/>
      <c r="R140" s="3"/>
      <c r="S140" s="3"/>
    </row>
    <row r="141" spans="1:19" x14ac:dyDescent="0.2">
      <c r="A141" t="s">
        <v>12</v>
      </c>
      <c r="B141" t="s">
        <v>8</v>
      </c>
      <c r="C141">
        <v>100</v>
      </c>
      <c r="D141" s="2">
        <v>4339941</v>
      </c>
      <c r="E141">
        <f t="shared" si="59"/>
        <v>-4.0375945425909796E-4</v>
      </c>
      <c r="F141" s="2">
        <v>15.2563</v>
      </c>
      <c r="G141">
        <f t="shared" si="60"/>
        <v>-1.3109166584820256E-5</v>
      </c>
      <c r="H141" s="2">
        <v>7.0130100000000001E-2</v>
      </c>
      <c r="I141">
        <f t="shared" si="61"/>
        <v>-7.5659132099990269E-4</v>
      </c>
      <c r="J141" s="2">
        <v>6.2466000000000001E-2</v>
      </c>
      <c r="K141">
        <f t="shared" si="62"/>
        <v>-5.3280596742683517E-4</v>
      </c>
      <c r="L141" s="2">
        <v>4.88872E-3</v>
      </c>
      <c r="M141">
        <f t="shared" si="63"/>
        <v>3.0692295415384724E-4</v>
      </c>
      <c r="N141" s="2">
        <v>4.8631000000000004E-3</v>
      </c>
      <c r="O141">
        <f t="shared" si="64"/>
        <v>-1.541988342567889E-4</v>
      </c>
      <c r="P141" s="3"/>
      <c r="Q141" s="3"/>
      <c r="R141" s="3"/>
      <c r="S141" s="3"/>
    </row>
    <row r="142" spans="1:19" x14ac:dyDescent="0.2">
      <c r="A142" t="s">
        <v>12</v>
      </c>
      <c r="B142" t="s">
        <v>9</v>
      </c>
      <c r="C142">
        <v>100</v>
      </c>
      <c r="D142">
        <v>4647740</v>
      </c>
      <c r="E142">
        <f t="shared" ref="E142:E151" si="65">(D142-D102)/D102</f>
        <v>7.1069234857049884E-2</v>
      </c>
      <c r="F142" s="2">
        <v>15.596399999999999</v>
      </c>
      <c r="G142">
        <f t="shared" ref="G142:G151" si="66">(F142-F102)/F102</f>
        <v>2.2996497396004147E-2</v>
      </c>
      <c r="H142" s="2">
        <v>5.22163E-2</v>
      </c>
      <c r="I142">
        <f t="shared" ref="I142:I151" si="67">(H142-H102)/H102</f>
        <v>-0.25636661929026539</v>
      </c>
      <c r="J142" s="2">
        <v>6.2876299999999996E-2</v>
      </c>
      <c r="K142">
        <f t="shared" ref="K142:K151" si="68">(J142-J102)/J102</f>
        <v>6.8439956508440413E-3</v>
      </c>
      <c r="L142" s="2">
        <v>4.7171299999999999E-3</v>
      </c>
      <c r="M142">
        <f t="shared" ref="M142:M151" si="69">(L142-L102)/L102</f>
        <v>-1.6873380866136257E-2</v>
      </c>
      <c r="N142" s="2">
        <v>4.7574100000000001E-3</v>
      </c>
      <c r="O142">
        <f t="shared" ref="O142:O151" si="70">(N142-N102)/N102</f>
        <v>-1.4473989493047774E-2</v>
      </c>
      <c r="P142" s="3" t="s">
        <v>51</v>
      </c>
      <c r="Q142" s="3" t="s">
        <v>52</v>
      </c>
      <c r="R142" s="3" t="s">
        <v>53</v>
      </c>
      <c r="S142" s="3" t="s">
        <v>54</v>
      </c>
    </row>
    <row r="143" spans="1:19" x14ac:dyDescent="0.2">
      <c r="A143" t="s">
        <v>12</v>
      </c>
      <c r="B143" t="s">
        <v>9</v>
      </c>
      <c r="C143">
        <v>100</v>
      </c>
      <c r="D143" s="2">
        <v>4654953</v>
      </c>
      <c r="E143">
        <f t="shared" si="65"/>
        <v>7.3791562842699832E-2</v>
      </c>
      <c r="F143" s="2">
        <v>15.584899999999999</v>
      </c>
      <c r="G143">
        <f t="shared" si="66"/>
        <v>2.3329568734569504E-2</v>
      </c>
      <c r="H143" s="2">
        <v>5.1648399999999997E-2</v>
      </c>
      <c r="I143">
        <f t="shared" si="67"/>
        <v>-0.28010448216792139</v>
      </c>
      <c r="J143" s="2">
        <v>6.3440099999999999E-2</v>
      </c>
      <c r="K143">
        <f t="shared" si="68"/>
        <v>-7.7021216273692283E-4</v>
      </c>
      <c r="L143" s="2">
        <v>4.9857199999999999E-3</v>
      </c>
      <c r="M143">
        <f t="shared" si="69"/>
        <v>-4.2639707453660212E-3</v>
      </c>
      <c r="N143" s="2">
        <v>4.9619299999999998E-3</v>
      </c>
      <c r="O143">
        <f t="shared" si="70"/>
        <v>-5.8008262149009603E-4</v>
      </c>
      <c r="P143" s="3"/>
      <c r="Q143" s="3"/>
      <c r="R143" s="3"/>
      <c r="S143" s="3"/>
    </row>
    <row r="144" spans="1:19" x14ac:dyDescent="0.2">
      <c r="A144" t="s">
        <v>12</v>
      </c>
      <c r="B144" t="s">
        <v>9</v>
      </c>
      <c r="C144">
        <v>100</v>
      </c>
      <c r="D144" s="2">
        <v>4656045</v>
      </c>
      <c r="E144">
        <f t="shared" si="65"/>
        <v>7.2459658769484209E-2</v>
      </c>
      <c r="F144" s="2">
        <v>15.5815</v>
      </c>
      <c r="G144">
        <f t="shared" si="66"/>
        <v>2.1871720881427126E-2</v>
      </c>
      <c r="H144" s="2">
        <v>5.1945600000000001E-2</v>
      </c>
      <c r="I144">
        <f t="shared" si="67"/>
        <v>-0.2656890102713293</v>
      </c>
      <c r="J144" s="2">
        <v>6.3234799999999994E-2</v>
      </c>
      <c r="K144">
        <f t="shared" si="68"/>
        <v>3.8601242833448087E-4</v>
      </c>
      <c r="L144" s="2">
        <v>4.84155E-3</v>
      </c>
      <c r="M144">
        <f t="shared" si="69"/>
        <v>-4.4804599308293953E-3</v>
      </c>
      <c r="N144" s="2">
        <v>4.8672400000000001E-3</v>
      </c>
      <c r="O144">
        <f t="shared" si="70"/>
        <v>-6.5907667669312241E-4</v>
      </c>
      <c r="P144" s="3"/>
      <c r="Q144" s="3"/>
      <c r="R144" s="3"/>
      <c r="S144" s="3"/>
    </row>
    <row r="145" spans="1:19" x14ac:dyDescent="0.2">
      <c r="A145" t="s">
        <v>12</v>
      </c>
      <c r="B145" t="s">
        <v>9</v>
      </c>
      <c r="C145">
        <v>100</v>
      </c>
      <c r="D145" s="2">
        <v>4656676</v>
      </c>
      <c r="E145">
        <f t="shared" si="65"/>
        <v>7.3371684204387694E-2</v>
      </c>
      <c r="F145" s="2">
        <v>15.5845</v>
      </c>
      <c r="G145">
        <f t="shared" si="66"/>
        <v>2.2537891214487276E-2</v>
      </c>
      <c r="H145" s="2">
        <v>5.0743000000000003E-2</v>
      </c>
      <c r="I145">
        <f t="shared" si="67"/>
        <v>-0.2829111464405582</v>
      </c>
      <c r="J145" s="2">
        <v>6.3312400000000005E-2</v>
      </c>
      <c r="K145">
        <f t="shared" si="68"/>
        <v>1.0109626259759935E-4</v>
      </c>
      <c r="L145" s="2">
        <v>4.89384E-3</v>
      </c>
      <c r="M145">
        <f t="shared" si="69"/>
        <v>6.5840322903843666E-4</v>
      </c>
      <c r="N145" s="2">
        <v>4.8836299999999999E-3</v>
      </c>
      <c r="O145">
        <f t="shared" si="70"/>
        <v>6.5529323348268763E-5</v>
      </c>
      <c r="P145" s="3"/>
      <c r="Q145" s="3"/>
      <c r="R145" s="3"/>
      <c r="S145" s="3"/>
    </row>
    <row r="146" spans="1:19" x14ac:dyDescent="0.2">
      <c r="A146" t="s">
        <v>12</v>
      </c>
      <c r="B146" t="s">
        <v>9</v>
      </c>
      <c r="C146">
        <v>100</v>
      </c>
      <c r="D146" s="2">
        <v>4656520</v>
      </c>
      <c r="E146">
        <f t="shared" si="65"/>
        <v>7.4304698404641878E-2</v>
      </c>
      <c r="F146" s="2">
        <v>15.584</v>
      </c>
      <c r="G146">
        <f t="shared" si="66"/>
        <v>2.3122677556165382E-2</v>
      </c>
      <c r="H146" s="2">
        <v>5.1874900000000002E-2</v>
      </c>
      <c r="I146">
        <f t="shared" si="67"/>
        <v>-0.2740057883717546</v>
      </c>
      <c r="J146" s="2">
        <v>6.2854300000000002E-2</v>
      </c>
      <c r="K146">
        <f t="shared" si="68"/>
        <v>-5.2474824010557573E-4</v>
      </c>
      <c r="L146" s="2">
        <v>4.9287599999999999E-3</v>
      </c>
      <c r="M146">
        <f t="shared" si="69"/>
        <v>-5.8835038009815059E-3</v>
      </c>
      <c r="N146" s="2">
        <v>4.8607600000000004E-3</v>
      </c>
      <c r="O146">
        <f t="shared" si="70"/>
        <v>-4.1145659749836907E-6</v>
      </c>
      <c r="P146" s="3"/>
      <c r="Q146" s="3"/>
      <c r="R146" s="3"/>
      <c r="S146" s="3"/>
    </row>
    <row r="147" spans="1:19" x14ac:dyDescent="0.2">
      <c r="A147" t="s">
        <v>12</v>
      </c>
      <c r="B147" t="s">
        <v>9</v>
      </c>
      <c r="C147">
        <v>100</v>
      </c>
      <c r="D147" s="2">
        <v>4655286</v>
      </c>
      <c r="E147">
        <f t="shared" si="65"/>
        <v>7.3451137453948781E-2</v>
      </c>
      <c r="F147" s="2">
        <v>15.577400000000001</v>
      </c>
      <c r="G147">
        <f t="shared" si="66"/>
        <v>2.2608809820783841E-2</v>
      </c>
      <c r="H147" s="2">
        <v>5.0672500000000002E-2</v>
      </c>
      <c r="I147">
        <f t="shared" si="67"/>
        <v>-0.28154991542641955</v>
      </c>
      <c r="J147" s="2">
        <v>6.23096E-2</v>
      </c>
      <c r="K147">
        <f t="shared" si="68"/>
        <v>-2.4869595074860084E-4</v>
      </c>
      <c r="L147" s="2">
        <v>4.8686399999999996E-3</v>
      </c>
      <c r="M147">
        <f t="shared" si="69"/>
        <v>1.9055928945667247E-3</v>
      </c>
      <c r="N147" s="2">
        <v>4.8203200000000003E-3</v>
      </c>
      <c r="O147">
        <f t="shared" si="70"/>
        <v>-8.3237669674414341E-3</v>
      </c>
      <c r="P147" s="3"/>
      <c r="Q147" s="3"/>
      <c r="R147" s="3"/>
      <c r="S147" s="3"/>
    </row>
    <row r="148" spans="1:19" x14ac:dyDescent="0.2">
      <c r="A148" t="s">
        <v>12</v>
      </c>
      <c r="B148" t="s">
        <v>9</v>
      </c>
      <c r="C148">
        <v>100</v>
      </c>
      <c r="D148" s="2">
        <v>4655314</v>
      </c>
      <c r="E148">
        <f t="shared" si="65"/>
        <v>7.4714515747372548E-2</v>
      </c>
      <c r="F148" s="2">
        <v>15.58</v>
      </c>
      <c r="G148">
        <f t="shared" si="66"/>
        <v>2.349169644734074E-2</v>
      </c>
      <c r="H148" s="2">
        <v>5.1379899999999999E-2</v>
      </c>
      <c r="I148">
        <f t="shared" si="67"/>
        <v>-0.28019092209431506</v>
      </c>
      <c r="J148" s="2">
        <v>6.3996999999999998E-2</v>
      </c>
      <c r="K148">
        <f t="shared" si="68"/>
        <v>2.2662446762787675E-4</v>
      </c>
      <c r="L148" s="2">
        <v>4.8479999999999999E-3</v>
      </c>
      <c r="M148">
        <f t="shared" si="69"/>
        <v>1.0945655415169534E-2</v>
      </c>
      <c r="N148" s="2">
        <v>4.7990000000000003E-3</v>
      </c>
      <c r="O148">
        <f t="shared" si="70"/>
        <v>-1.4584244848622047E-4</v>
      </c>
      <c r="P148" s="3"/>
      <c r="Q148" s="3"/>
      <c r="R148" s="3"/>
      <c r="S148" s="3"/>
    </row>
    <row r="149" spans="1:19" x14ac:dyDescent="0.2">
      <c r="A149" t="s">
        <v>12</v>
      </c>
      <c r="B149" t="s">
        <v>9</v>
      </c>
      <c r="C149">
        <v>100</v>
      </c>
      <c r="D149" s="2">
        <v>4656613</v>
      </c>
      <c r="E149">
        <f t="shared" si="65"/>
        <v>7.5805419441883889E-2</v>
      </c>
      <c r="F149" s="2">
        <v>15.582700000000001</v>
      </c>
      <c r="G149">
        <f t="shared" si="66"/>
        <v>2.4274652608884329E-2</v>
      </c>
      <c r="H149" s="2">
        <v>5.0252100000000001E-2</v>
      </c>
      <c r="I149">
        <f t="shared" si="67"/>
        <v>-0.29523655921518582</v>
      </c>
      <c r="J149" s="2">
        <v>6.3142599999999993E-2</v>
      </c>
      <c r="K149">
        <f t="shared" si="68"/>
        <v>-3.4987896720812411E-4</v>
      </c>
      <c r="L149" s="2">
        <v>4.8210199999999996E-3</v>
      </c>
      <c r="M149">
        <f t="shared" si="69"/>
        <v>-5.5754375470549889E-3</v>
      </c>
      <c r="N149" s="2">
        <v>4.8583300000000001E-3</v>
      </c>
      <c r="O149">
        <f t="shared" si="70"/>
        <v>-3.5184895597572299E-4</v>
      </c>
      <c r="P149" s="3"/>
      <c r="Q149" s="3"/>
      <c r="R149" s="3"/>
      <c r="S149" s="3"/>
    </row>
    <row r="150" spans="1:19" x14ac:dyDescent="0.2">
      <c r="A150" t="s">
        <v>12</v>
      </c>
      <c r="B150" t="s">
        <v>9</v>
      </c>
      <c r="C150">
        <v>100</v>
      </c>
      <c r="D150" s="2">
        <v>4654327</v>
      </c>
      <c r="E150">
        <f t="shared" si="65"/>
        <v>7.5353560604992903E-2</v>
      </c>
      <c r="F150" s="2">
        <v>15.5807</v>
      </c>
      <c r="G150">
        <f t="shared" si="66"/>
        <v>2.4648327294010907E-2</v>
      </c>
      <c r="H150" s="2">
        <v>3.8270800000000001E-2</v>
      </c>
      <c r="I150">
        <f t="shared" si="67"/>
        <v>-0.46927415362299146</v>
      </c>
      <c r="J150" s="2">
        <v>6.4008599999999999E-2</v>
      </c>
      <c r="K150">
        <f t="shared" si="68"/>
        <v>2.31272404514115E-4</v>
      </c>
      <c r="L150" s="2">
        <v>4.9640300000000004E-3</v>
      </c>
      <c r="M150">
        <f t="shared" si="69"/>
        <v>3.2011705290218187E-3</v>
      </c>
      <c r="N150" s="2">
        <v>4.8716999999999996E-3</v>
      </c>
      <c r="O150">
        <f t="shared" si="70"/>
        <v>-1.4736958611488817E-3</v>
      </c>
      <c r="P150" s="3"/>
      <c r="Q150" s="3"/>
      <c r="R150" s="3"/>
      <c r="S150" s="3"/>
    </row>
    <row r="151" spans="1:19" x14ac:dyDescent="0.2">
      <c r="A151" t="s">
        <v>12</v>
      </c>
      <c r="B151" t="s">
        <v>9</v>
      </c>
      <c r="C151">
        <v>100</v>
      </c>
      <c r="D151" s="2">
        <v>4657574</v>
      </c>
      <c r="E151">
        <f t="shared" si="65"/>
        <v>7.2755012214126558E-2</v>
      </c>
      <c r="F151" s="2">
        <v>15.586</v>
      </c>
      <c r="G151">
        <f t="shared" si="66"/>
        <v>2.1597351948349847E-2</v>
      </c>
      <c r="H151" s="2">
        <v>5.0295199999999998E-2</v>
      </c>
      <c r="I151">
        <f t="shared" si="67"/>
        <v>-0.28337265898391639</v>
      </c>
      <c r="J151" s="2">
        <v>6.2466000000000001E-2</v>
      </c>
      <c r="K151">
        <f t="shared" si="68"/>
        <v>-5.3280596742683517E-4</v>
      </c>
      <c r="L151" s="2">
        <v>4.8810399999999997E-3</v>
      </c>
      <c r="M151">
        <f t="shared" si="69"/>
        <v>-1.2645225711141702E-3</v>
      </c>
      <c r="N151" s="2">
        <v>4.8631000000000004E-3</v>
      </c>
      <c r="O151">
        <f t="shared" si="70"/>
        <v>-1.541988342567889E-4</v>
      </c>
      <c r="P151" s="3"/>
      <c r="Q151" s="3"/>
      <c r="R151" s="3"/>
      <c r="S151" s="3"/>
    </row>
    <row r="152" spans="1:19" x14ac:dyDescent="0.2">
      <c r="A152" t="s">
        <v>13</v>
      </c>
      <c r="B152" t="s">
        <v>5</v>
      </c>
      <c r="C152">
        <v>100</v>
      </c>
      <c r="D152">
        <v>4356830</v>
      </c>
      <c r="E152">
        <v>0</v>
      </c>
      <c r="F152" s="2">
        <v>15.303100000000001</v>
      </c>
      <c r="G152">
        <v>0</v>
      </c>
      <c r="H152" s="2">
        <v>5.69664E-2</v>
      </c>
      <c r="I152">
        <v>0</v>
      </c>
      <c r="J152" s="2">
        <v>4.8166800000000003E-2</v>
      </c>
      <c r="K152">
        <v>0</v>
      </c>
      <c r="L152" s="2">
        <v>4.8877499999999997E-3</v>
      </c>
      <c r="M152">
        <v>0</v>
      </c>
      <c r="N152" s="2">
        <v>4.8977600000000001E-3</v>
      </c>
      <c r="O152">
        <v>0</v>
      </c>
      <c r="P152" s="1">
        <f>194686/230224</f>
        <v>0.84563729237612062</v>
      </c>
      <c r="Q152" s="1">
        <f>(204972-194686)/204972</f>
        <v>5.0182463946295101E-2</v>
      </c>
      <c r="R152" s="3" t="s">
        <v>55</v>
      </c>
      <c r="S152" s="3" t="s">
        <v>56</v>
      </c>
    </row>
    <row r="153" spans="1:19" x14ac:dyDescent="0.2">
      <c r="A153" t="s">
        <v>13</v>
      </c>
      <c r="B153" t="s">
        <v>5</v>
      </c>
      <c r="C153">
        <v>100</v>
      </c>
      <c r="D153" s="2">
        <v>4351634</v>
      </c>
      <c r="E153">
        <v>0</v>
      </c>
      <c r="F153" s="2">
        <v>15.2911</v>
      </c>
      <c r="G153">
        <v>0</v>
      </c>
      <c r="H153" s="2">
        <v>5.7502499999999998E-2</v>
      </c>
      <c r="I153">
        <v>0</v>
      </c>
      <c r="J153" s="2">
        <v>4.8717000000000003E-2</v>
      </c>
      <c r="K153">
        <v>0</v>
      </c>
      <c r="L153" s="2">
        <v>5.0318400000000001E-3</v>
      </c>
      <c r="M153">
        <v>0</v>
      </c>
      <c r="N153" s="2">
        <v>5.01682E-3</v>
      </c>
      <c r="O153">
        <v>0</v>
      </c>
      <c r="P153" s="1"/>
      <c r="Q153" s="1"/>
      <c r="R153" s="3"/>
      <c r="S153" s="3"/>
    </row>
    <row r="154" spans="1:19" x14ac:dyDescent="0.2">
      <c r="A154" t="s">
        <v>13</v>
      </c>
      <c r="B154" t="s">
        <v>5</v>
      </c>
      <c r="C154">
        <v>100</v>
      </c>
      <c r="D154" s="2">
        <v>4356637</v>
      </c>
      <c r="E154">
        <v>0</v>
      </c>
      <c r="F154" s="2">
        <v>15.3049</v>
      </c>
      <c r="G154">
        <v>0</v>
      </c>
      <c r="H154" s="2">
        <v>5.5499100000000003E-2</v>
      </c>
      <c r="I154">
        <v>0</v>
      </c>
      <c r="J154" s="2">
        <v>4.7949800000000001E-2</v>
      </c>
      <c r="K154">
        <v>0</v>
      </c>
      <c r="L154" s="2">
        <v>4.9142700000000001E-3</v>
      </c>
      <c r="M154">
        <v>0</v>
      </c>
      <c r="N154" s="2">
        <v>4.9315399999999999E-3</v>
      </c>
      <c r="O154">
        <v>0</v>
      </c>
      <c r="P154" s="1"/>
      <c r="Q154" s="1"/>
      <c r="R154" s="3"/>
      <c r="S154" s="3"/>
    </row>
    <row r="155" spans="1:19" x14ac:dyDescent="0.2">
      <c r="A155" t="s">
        <v>13</v>
      </c>
      <c r="B155" t="s">
        <v>5</v>
      </c>
      <c r="C155">
        <v>100</v>
      </c>
      <c r="D155" s="2">
        <v>4355247</v>
      </c>
      <c r="E155">
        <v>0</v>
      </c>
      <c r="F155" s="2">
        <v>15.3028</v>
      </c>
      <c r="G155">
        <v>0</v>
      </c>
      <c r="H155" s="2">
        <v>5.6894E-2</v>
      </c>
      <c r="I155">
        <v>0</v>
      </c>
      <c r="J155" s="2">
        <v>4.83518E-2</v>
      </c>
      <c r="K155">
        <v>0</v>
      </c>
      <c r="L155" s="2">
        <v>4.93386E-3</v>
      </c>
      <c r="M155">
        <v>0</v>
      </c>
      <c r="N155" s="2">
        <v>4.9390600000000003E-3</v>
      </c>
      <c r="O155">
        <v>0</v>
      </c>
      <c r="P155" s="1"/>
      <c r="Q155" s="1"/>
      <c r="R155" s="3"/>
      <c r="S155" s="3"/>
    </row>
    <row r="156" spans="1:19" x14ac:dyDescent="0.2">
      <c r="A156" t="s">
        <v>13</v>
      </c>
      <c r="B156" t="s">
        <v>5</v>
      </c>
      <c r="C156">
        <v>100</v>
      </c>
      <c r="D156" s="2">
        <v>4351366</v>
      </c>
      <c r="E156">
        <v>0</v>
      </c>
      <c r="F156" s="2">
        <v>15.287699999999999</v>
      </c>
      <c r="G156">
        <v>0</v>
      </c>
      <c r="H156" s="2">
        <v>5.6576500000000002E-2</v>
      </c>
      <c r="I156">
        <v>0</v>
      </c>
      <c r="J156" s="2">
        <v>4.8283300000000001E-2</v>
      </c>
      <c r="K156">
        <v>0</v>
      </c>
      <c r="L156" s="2">
        <v>5.0480200000000003E-3</v>
      </c>
      <c r="M156">
        <v>0</v>
      </c>
      <c r="N156" s="2">
        <v>4.9358500000000003E-3</v>
      </c>
      <c r="O156">
        <v>0</v>
      </c>
      <c r="P156" s="1"/>
      <c r="Q156" s="1"/>
      <c r="R156" s="3"/>
      <c r="S156" s="3"/>
    </row>
    <row r="157" spans="1:19" x14ac:dyDescent="0.2">
      <c r="A157" t="s">
        <v>13</v>
      </c>
      <c r="B157" t="s">
        <v>5</v>
      </c>
      <c r="C157">
        <v>100</v>
      </c>
      <c r="D157" s="2">
        <v>4355766</v>
      </c>
      <c r="E157">
        <v>0</v>
      </c>
      <c r="F157" s="2">
        <v>15.3028</v>
      </c>
      <c r="G157">
        <v>0</v>
      </c>
      <c r="H157" s="2">
        <v>5.7158399999999998E-2</v>
      </c>
      <c r="I157">
        <v>0</v>
      </c>
      <c r="J157" s="2">
        <v>4.9099400000000001E-2</v>
      </c>
      <c r="K157">
        <v>0</v>
      </c>
      <c r="L157" s="2">
        <v>4.9581399999999998E-3</v>
      </c>
      <c r="M157">
        <v>0</v>
      </c>
      <c r="N157" s="2">
        <v>4.9030000000000002E-3</v>
      </c>
      <c r="O157">
        <v>0</v>
      </c>
      <c r="P157" s="1"/>
      <c r="Q157" s="1"/>
      <c r="R157" s="3"/>
      <c r="S157" s="3"/>
    </row>
    <row r="158" spans="1:19" x14ac:dyDescent="0.2">
      <c r="A158" t="s">
        <v>13</v>
      </c>
      <c r="B158" t="s">
        <v>5</v>
      </c>
      <c r="C158">
        <v>100</v>
      </c>
      <c r="D158" s="2">
        <v>4350679</v>
      </c>
      <c r="E158">
        <v>0</v>
      </c>
      <c r="F158" s="2">
        <v>15.2882</v>
      </c>
      <c r="G158">
        <v>0</v>
      </c>
      <c r="H158" s="2">
        <v>5.8402200000000001E-2</v>
      </c>
      <c r="I158">
        <v>0</v>
      </c>
      <c r="J158" s="2">
        <v>4.9270300000000003E-2</v>
      </c>
      <c r="K158">
        <v>0</v>
      </c>
      <c r="L158" s="2">
        <v>4.8902700000000004E-3</v>
      </c>
      <c r="M158">
        <v>0</v>
      </c>
      <c r="N158" s="2">
        <v>4.8805300000000001E-3</v>
      </c>
      <c r="O158">
        <v>0</v>
      </c>
      <c r="P158" s="1"/>
      <c r="Q158" s="1"/>
      <c r="R158" s="3"/>
      <c r="S158" s="3"/>
    </row>
    <row r="159" spans="1:19" x14ac:dyDescent="0.2">
      <c r="A159" t="s">
        <v>13</v>
      </c>
      <c r="B159" t="s">
        <v>5</v>
      </c>
      <c r="C159">
        <v>100</v>
      </c>
      <c r="D159" s="2">
        <v>4347779</v>
      </c>
      <c r="E159">
        <v>0</v>
      </c>
      <c r="F159" s="2">
        <v>15.2822</v>
      </c>
      <c r="G159">
        <v>0</v>
      </c>
      <c r="H159" s="2">
        <v>5.7813700000000003E-2</v>
      </c>
      <c r="I159">
        <v>0</v>
      </c>
      <c r="J159" s="2">
        <v>4.9688799999999998E-2</v>
      </c>
      <c r="K159">
        <v>0</v>
      </c>
      <c r="L159" s="2">
        <v>4.9065999999999997E-3</v>
      </c>
      <c r="M159">
        <v>0</v>
      </c>
      <c r="N159" s="2">
        <v>4.9309699999999998E-3</v>
      </c>
      <c r="O159">
        <v>0</v>
      </c>
      <c r="P159" s="1"/>
      <c r="Q159" s="1"/>
      <c r="R159" s="3"/>
      <c r="S159" s="3"/>
    </row>
    <row r="160" spans="1:19" x14ac:dyDescent="0.2">
      <c r="A160" t="s">
        <v>13</v>
      </c>
      <c r="B160" t="s">
        <v>5</v>
      </c>
      <c r="C160">
        <v>100</v>
      </c>
      <c r="D160" s="2">
        <v>4347016</v>
      </c>
      <c r="E160">
        <v>0</v>
      </c>
      <c r="F160" s="2">
        <v>15.272</v>
      </c>
      <c r="G160">
        <v>0</v>
      </c>
      <c r="H160" s="2">
        <v>5.7236000000000002E-2</v>
      </c>
      <c r="I160">
        <v>0</v>
      </c>
      <c r="J160" s="2">
        <v>4.9210999999999998E-2</v>
      </c>
      <c r="K160">
        <v>0</v>
      </c>
      <c r="L160" s="2">
        <v>5.0022599999999997E-3</v>
      </c>
      <c r="M160">
        <v>0</v>
      </c>
      <c r="N160" s="2">
        <v>4.9418099999999996E-3</v>
      </c>
      <c r="O160">
        <v>0</v>
      </c>
      <c r="P160" s="1"/>
      <c r="Q160" s="1"/>
      <c r="R160" s="3"/>
      <c r="S160" s="3"/>
    </row>
    <row r="161" spans="1:19" x14ac:dyDescent="0.2">
      <c r="A161" t="s">
        <v>13</v>
      </c>
      <c r="B161" t="s">
        <v>5</v>
      </c>
      <c r="C161">
        <v>100</v>
      </c>
      <c r="D161" s="2">
        <v>4356647</v>
      </c>
      <c r="E161">
        <v>0</v>
      </c>
      <c r="F161" s="2">
        <v>15.301</v>
      </c>
      <c r="G161">
        <v>0</v>
      </c>
      <c r="H161" s="2">
        <v>5.7415500000000001E-2</v>
      </c>
      <c r="I161">
        <v>0</v>
      </c>
      <c r="J161" s="2">
        <v>4.8613999999999997E-2</v>
      </c>
      <c r="K161">
        <v>0</v>
      </c>
      <c r="L161" s="2">
        <v>4.9390600000000003E-3</v>
      </c>
      <c r="M161">
        <v>0</v>
      </c>
      <c r="N161" s="2">
        <v>4.9281200000000002E-3</v>
      </c>
      <c r="O161">
        <v>0</v>
      </c>
      <c r="P161" s="1"/>
      <c r="Q161" s="1"/>
      <c r="R161" s="3"/>
      <c r="S161" s="3"/>
    </row>
    <row r="162" spans="1:19" x14ac:dyDescent="0.2">
      <c r="A162" t="s">
        <v>13</v>
      </c>
      <c r="B162" t="s">
        <v>6</v>
      </c>
      <c r="C162">
        <v>100</v>
      </c>
      <c r="D162">
        <v>4356217</v>
      </c>
      <c r="E162">
        <f t="shared" ref="E162:E171" si="71">(D162-D152)/D152</f>
        <v>-1.406986272129048E-4</v>
      </c>
      <c r="F162" s="2">
        <v>15.302899999999999</v>
      </c>
      <c r="G162">
        <f t="shared" ref="G162:G171" si="72">(F162-F152)/F152</f>
        <v>-1.3069247407473665E-5</v>
      </c>
      <c r="H162" s="2">
        <v>5.6935199999999998E-2</v>
      </c>
      <c r="I162">
        <f t="shared" ref="I162:I171" si="73">(H162-H152)/H152</f>
        <v>-5.4769127064378407E-4</v>
      </c>
      <c r="J162" s="2">
        <v>4.8157600000000002E-2</v>
      </c>
      <c r="K162">
        <f t="shared" ref="K162:K171" si="74">(J162-J152)/J152</f>
        <v>-1.9100293147979259E-4</v>
      </c>
      <c r="L162" s="2">
        <v>4.8893499999999998E-3</v>
      </c>
      <c r="M162">
        <f t="shared" ref="M162:M171" si="75">(L162-L152)/L152</f>
        <v>3.2734898470667258E-4</v>
      </c>
      <c r="N162" s="2">
        <v>4.8962900000000002E-3</v>
      </c>
      <c r="O162">
        <f t="shared" ref="O162:O171" si="76">(N162-N152)/N152</f>
        <v>-3.0013720557968204E-4</v>
      </c>
      <c r="P162" s="3">
        <v>0.84562400000000004</v>
      </c>
      <c r="Q162" s="3">
        <v>4.9000000000000002E-2</v>
      </c>
      <c r="R162" s="3" t="s">
        <v>57</v>
      </c>
      <c r="S162" s="3" t="s">
        <v>58</v>
      </c>
    </row>
    <row r="163" spans="1:19" x14ac:dyDescent="0.2">
      <c r="A163" t="s">
        <v>13</v>
      </c>
      <c r="B163" t="s">
        <v>6</v>
      </c>
      <c r="C163">
        <v>100</v>
      </c>
      <c r="D163" s="2">
        <v>4351216</v>
      </c>
      <c r="E163">
        <f t="shared" si="71"/>
        <v>-9.6055872345882028E-5</v>
      </c>
      <c r="F163" s="2">
        <v>15.2918</v>
      </c>
      <c r="G163">
        <f t="shared" si="72"/>
        <v>4.5778263172704706E-5</v>
      </c>
      <c r="H163" s="2">
        <v>5.7487799999999999E-2</v>
      </c>
      <c r="I163">
        <f t="shared" si="73"/>
        <v>-2.5564105908437783E-4</v>
      </c>
      <c r="J163" s="2">
        <v>4.8707199999999999E-2</v>
      </c>
      <c r="K163">
        <f t="shared" si="74"/>
        <v>-2.0116181209853335E-4</v>
      </c>
      <c r="L163" s="2">
        <v>5.0317599999999997E-3</v>
      </c>
      <c r="M163">
        <f t="shared" si="75"/>
        <v>-1.5898756717302669E-5</v>
      </c>
      <c r="N163" s="2">
        <v>5.0167700000000003E-3</v>
      </c>
      <c r="O163">
        <f t="shared" si="76"/>
        <v>-9.9664727854902238E-6</v>
      </c>
      <c r="P163" s="3"/>
      <c r="Q163" s="3"/>
      <c r="R163" s="3"/>
      <c r="S163" s="3"/>
    </row>
    <row r="164" spans="1:19" x14ac:dyDescent="0.2">
      <c r="A164" t="s">
        <v>13</v>
      </c>
      <c r="B164" t="s">
        <v>6</v>
      </c>
      <c r="C164">
        <v>100</v>
      </c>
      <c r="D164" s="2">
        <v>4356100</v>
      </c>
      <c r="E164">
        <f t="shared" si="71"/>
        <v>-1.2326021194788549E-4</v>
      </c>
      <c r="F164" s="2">
        <v>15.304600000000001</v>
      </c>
      <c r="G164">
        <f t="shared" si="72"/>
        <v>-1.9601565511653186E-5</v>
      </c>
      <c r="H164" s="2">
        <v>5.53938E-2</v>
      </c>
      <c r="I164">
        <f t="shared" si="73"/>
        <v>-1.8973280647794758E-3</v>
      </c>
      <c r="J164" s="2">
        <v>4.7903500000000002E-2</v>
      </c>
      <c r="K164">
        <f t="shared" si="74"/>
        <v>-9.655931828704003E-4</v>
      </c>
      <c r="L164" s="2">
        <v>4.9073900000000002E-3</v>
      </c>
      <c r="M164">
        <f t="shared" si="75"/>
        <v>-1.4000044767584824E-3</v>
      </c>
      <c r="N164" s="2">
        <v>4.9287300000000001E-3</v>
      </c>
      <c r="O164">
        <f t="shared" si="76"/>
        <v>-5.6980172522169378E-4</v>
      </c>
      <c r="P164" s="3"/>
      <c r="Q164" s="3"/>
      <c r="R164" s="3"/>
      <c r="S164" s="3"/>
    </row>
    <row r="165" spans="1:19" x14ac:dyDescent="0.2">
      <c r="A165" t="s">
        <v>13</v>
      </c>
      <c r="B165" t="s">
        <v>6</v>
      </c>
      <c r="C165">
        <v>100</v>
      </c>
      <c r="D165" s="2">
        <v>4354530</v>
      </c>
      <c r="E165">
        <f t="shared" si="71"/>
        <v>-1.6462900956019258E-4</v>
      </c>
      <c r="F165" s="2">
        <v>15.303000000000001</v>
      </c>
      <c r="G165">
        <f t="shared" si="72"/>
        <v>1.3069503620338124E-5</v>
      </c>
      <c r="H165" s="2">
        <v>5.6920600000000002E-2</v>
      </c>
      <c r="I165">
        <f t="shared" si="73"/>
        <v>4.6753611980176508E-4</v>
      </c>
      <c r="J165" s="2">
        <v>4.83542E-2</v>
      </c>
      <c r="K165">
        <f t="shared" si="74"/>
        <v>4.9636207959158185E-5</v>
      </c>
      <c r="L165" s="2">
        <v>4.93576E-3</v>
      </c>
      <c r="M165">
        <f t="shared" si="75"/>
        <v>3.8509402374611195E-4</v>
      </c>
      <c r="N165" s="2">
        <v>4.9397900000000003E-3</v>
      </c>
      <c r="O165">
        <f t="shared" si="76"/>
        <v>1.4780140350593058E-4</v>
      </c>
      <c r="P165" s="3"/>
      <c r="Q165" s="3"/>
      <c r="R165" s="3"/>
      <c r="S165" s="3"/>
    </row>
    <row r="166" spans="1:19" x14ac:dyDescent="0.2">
      <c r="A166" t="s">
        <v>13</v>
      </c>
      <c r="B166" t="s">
        <v>6</v>
      </c>
      <c r="C166">
        <v>100</v>
      </c>
      <c r="D166" s="2">
        <v>4350851</v>
      </c>
      <c r="E166">
        <f t="shared" si="71"/>
        <v>-1.1835363883433386E-4</v>
      </c>
      <c r="F166" s="2">
        <v>15.2883</v>
      </c>
      <c r="G166">
        <f t="shared" si="72"/>
        <v>3.9247237975652197E-5</v>
      </c>
      <c r="H166" s="2">
        <v>5.6570200000000001E-2</v>
      </c>
      <c r="I166">
        <f t="shared" si="73"/>
        <v>-1.1135365390225181E-4</v>
      </c>
      <c r="J166" s="2">
        <v>4.8280000000000003E-2</v>
      </c>
      <c r="K166">
        <f t="shared" si="74"/>
        <v>-6.8346612596855417E-5</v>
      </c>
      <c r="L166" s="2">
        <v>5.0532700000000003E-3</v>
      </c>
      <c r="M166">
        <f t="shared" si="75"/>
        <v>1.0400117273703445E-3</v>
      </c>
      <c r="N166" s="2">
        <v>4.9357999999999997E-3</v>
      </c>
      <c r="O166">
        <f t="shared" si="76"/>
        <v>-1.0129967482919947E-5</v>
      </c>
      <c r="P166" s="3"/>
      <c r="Q166" s="3"/>
      <c r="R166" s="3"/>
      <c r="S166" s="3"/>
    </row>
    <row r="167" spans="1:19" x14ac:dyDescent="0.2">
      <c r="A167" t="s">
        <v>13</v>
      </c>
      <c r="B167" t="s">
        <v>6</v>
      </c>
      <c r="C167">
        <v>100</v>
      </c>
      <c r="D167" s="2">
        <v>4355237</v>
      </c>
      <c r="E167">
        <f t="shared" si="71"/>
        <v>-1.2144821370110332E-4</v>
      </c>
      <c r="F167" s="2">
        <v>15.3028</v>
      </c>
      <c r="G167">
        <f t="shared" si="72"/>
        <v>0</v>
      </c>
      <c r="H167" s="2">
        <v>5.7700000000000001E-2</v>
      </c>
      <c r="I167">
        <f t="shared" si="73"/>
        <v>9.4754226850297281E-3</v>
      </c>
      <c r="J167" s="2">
        <v>4.9099400000000001E-2</v>
      </c>
      <c r="K167">
        <f t="shared" si="74"/>
        <v>0</v>
      </c>
      <c r="L167" s="2">
        <v>4.9579999999999997E-3</v>
      </c>
      <c r="M167">
        <f t="shared" si="75"/>
        <v>-2.8236395099782567E-5</v>
      </c>
      <c r="N167" s="2">
        <v>4.8989999999999997E-3</v>
      </c>
      <c r="O167">
        <f t="shared" si="76"/>
        <v>-8.1582704466663897E-4</v>
      </c>
      <c r="P167" s="3"/>
      <c r="Q167" s="3"/>
      <c r="R167" s="3"/>
      <c r="S167" s="3"/>
    </row>
    <row r="168" spans="1:19" x14ac:dyDescent="0.2">
      <c r="A168" t="s">
        <v>13</v>
      </c>
      <c r="B168" t="s">
        <v>6</v>
      </c>
      <c r="C168">
        <v>100</v>
      </c>
      <c r="D168" s="2">
        <v>4350243</v>
      </c>
      <c r="E168">
        <f t="shared" si="71"/>
        <v>-1.002142424205509E-4</v>
      </c>
      <c r="F168" s="2">
        <v>15.2888</v>
      </c>
      <c r="G168">
        <f t="shared" si="72"/>
        <v>3.924595439622572E-5</v>
      </c>
      <c r="H168" s="2">
        <v>5.8405899999999997E-2</v>
      </c>
      <c r="I168">
        <f t="shared" si="73"/>
        <v>6.3353777768566485E-5</v>
      </c>
      <c r="J168" s="2">
        <v>4.9267499999999999E-2</v>
      </c>
      <c r="K168">
        <f t="shared" si="74"/>
        <v>-5.6829367793664496E-5</v>
      </c>
      <c r="L168" s="2">
        <v>4.8899299999999998E-3</v>
      </c>
      <c r="M168">
        <f t="shared" si="75"/>
        <v>-6.9525813503259096E-5</v>
      </c>
      <c r="N168" s="2">
        <v>4.8803800000000001E-3</v>
      </c>
      <c r="O168">
        <f t="shared" si="76"/>
        <v>-3.0734366964238829E-5</v>
      </c>
      <c r="P168" s="3"/>
      <c r="Q168" s="3"/>
      <c r="R168" s="3"/>
      <c r="S168" s="3"/>
    </row>
    <row r="169" spans="1:19" x14ac:dyDescent="0.2">
      <c r="A169" t="s">
        <v>13</v>
      </c>
      <c r="B169" t="s">
        <v>6</v>
      </c>
      <c r="C169">
        <v>100</v>
      </c>
      <c r="D169" s="2">
        <v>4347384</v>
      </c>
      <c r="E169">
        <f t="shared" si="71"/>
        <v>-9.0850983916155811E-5</v>
      </c>
      <c r="F169" s="2">
        <v>15.2834</v>
      </c>
      <c r="G169">
        <f t="shared" si="72"/>
        <v>7.8522725785603903E-5</v>
      </c>
      <c r="H169" s="2">
        <v>5.81278E-2</v>
      </c>
      <c r="I169">
        <f t="shared" si="73"/>
        <v>5.4329683102793576E-3</v>
      </c>
      <c r="J169" s="2">
        <v>4.9707800000000003E-2</v>
      </c>
      <c r="K169">
        <f t="shared" si="74"/>
        <v>3.82379932701235E-4</v>
      </c>
      <c r="L169" s="2">
        <v>4.9003600000000003E-3</v>
      </c>
      <c r="M169">
        <f t="shared" si="75"/>
        <v>-1.2717564097336998E-3</v>
      </c>
      <c r="N169" s="2">
        <v>4.9286299999999998E-3</v>
      </c>
      <c r="O169">
        <f t="shared" si="76"/>
        <v>-4.7455166022100745E-4</v>
      </c>
      <c r="P169" s="3"/>
      <c r="Q169" s="3"/>
      <c r="R169" s="3"/>
      <c r="S169" s="3"/>
    </row>
    <row r="170" spans="1:19" x14ac:dyDescent="0.2">
      <c r="A170" t="s">
        <v>13</v>
      </c>
      <c r="B170" t="s">
        <v>6</v>
      </c>
      <c r="C170">
        <v>100</v>
      </c>
      <c r="D170" s="2">
        <v>4346684</v>
      </c>
      <c r="E170">
        <f t="shared" si="71"/>
        <v>-7.6374230046542265E-5</v>
      </c>
      <c r="F170" s="2">
        <v>15.273199999999999</v>
      </c>
      <c r="G170">
        <f t="shared" si="72"/>
        <v>7.8575170246135385E-5</v>
      </c>
      <c r="H170" s="2">
        <v>5.6957500000000001E-2</v>
      </c>
      <c r="I170">
        <f t="shared" si="73"/>
        <v>-4.8658187154937615E-3</v>
      </c>
      <c r="J170" s="2">
        <v>4.91942E-2</v>
      </c>
      <c r="K170">
        <f t="shared" si="74"/>
        <v>-3.4138708825257307E-4</v>
      </c>
      <c r="L170" s="2">
        <v>5.0046300000000004E-3</v>
      </c>
      <c r="M170">
        <f t="shared" si="75"/>
        <v>4.7378584879647804E-4</v>
      </c>
      <c r="N170" s="2">
        <v>4.9431500000000003E-3</v>
      </c>
      <c r="O170">
        <f t="shared" si="76"/>
        <v>2.7115571015492616E-4</v>
      </c>
      <c r="P170" s="3"/>
      <c r="Q170" s="3"/>
      <c r="R170" s="3"/>
      <c r="S170" s="3"/>
    </row>
    <row r="171" spans="1:19" x14ac:dyDescent="0.2">
      <c r="A171" t="s">
        <v>13</v>
      </c>
      <c r="B171" t="s">
        <v>6</v>
      </c>
      <c r="C171">
        <v>100</v>
      </c>
      <c r="D171" s="2">
        <v>4356183</v>
      </c>
      <c r="E171">
        <f t="shared" si="71"/>
        <v>-1.0650392377440725E-4</v>
      </c>
      <c r="F171" s="2">
        <v>15.301</v>
      </c>
      <c r="G171">
        <f t="shared" si="72"/>
        <v>0</v>
      </c>
      <c r="H171" s="2">
        <v>5.7366300000000002E-2</v>
      </c>
      <c r="I171">
        <f t="shared" si="73"/>
        <v>-8.5691146119078025E-4</v>
      </c>
      <c r="J171" s="2">
        <v>4.8591000000000002E-2</v>
      </c>
      <c r="K171">
        <f t="shared" si="74"/>
        <v>-4.7311474060960317E-4</v>
      </c>
      <c r="L171" s="2">
        <v>4.9268200000000002E-3</v>
      </c>
      <c r="M171">
        <f t="shared" si="75"/>
        <v>-2.4782043546748098E-3</v>
      </c>
      <c r="N171" s="2">
        <v>4.9217000000000002E-3</v>
      </c>
      <c r="O171">
        <f t="shared" si="76"/>
        <v>-1.3027280179865825E-3</v>
      </c>
      <c r="P171" s="3"/>
      <c r="Q171" s="3"/>
      <c r="R171" s="3"/>
      <c r="S171" s="3"/>
    </row>
    <row r="172" spans="1:19" x14ac:dyDescent="0.2">
      <c r="A172" t="s">
        <v>13</v>
      </c>
      <c r="B172" t="s">
        <v>7</v>
      </c>
      <c r="C172">
        <v>100</v>
      </c>
      <c r="D172">
        <v>4355435</v>
      </c>
      <c r="E172">
        <f t="shared" ref="E172:E181" si="77">(D172-D152)/D152</f>
        <v>-3.2018692489723034E-4</v>
      </c>
      <c r="F172" s="2">
        <v>15.3028</v>
      </c>
      <c r="G172">
        <f t="shared" ref="G172:G181" si="78">(F172-F152)/F152</f>
        <v>-1.9603871111152459E-5</v>
      </c>
      <c r="H172" s="2">
        <v>5.6931599999999999E-2</v>
      </c>
      <c r="I172">
        <f t="shared" ref="I172:I181" si="79">(H172-H152)/H152</f>
        <v>-6.1088641725651433E-4</v>
      </c>
      <c r="J172" s="2">
        <v>4.8151199999999998E-2</v>
      </c>
      <c r="K172">
        <f t="shared" ref="K172:K181" si="80">(J172-J152)/J152</f>
        <v>-3.23874535987537E-4</v>
      </c>
      <c r="L172" s="2">
        <v>4.8889800000000002E-3</v>
      </c>
      <c r="M172">
        <f t="shared" ref="M172:M181" si="81">(L172-L152)/L152</f>
        <v>2.5164953199335107E-4</v>
      </c>
      <c r="N172" s="2">
        <v>4.8969699999999996E-3</v>
      </c>
      <c r="O172">
        <f t="shared" ref="O172:O181" si="82">(N172-N152)/N152</f>
        <v>-1.6129822612796717E-4</v>
      </c>
      <c r="P172" s="3">
        <v>0.84543699999999999</v>
      </c>
      <c r="Q172" s="3">
        <v>4.8599999999999997E-2</v>
      </c>
      <c r="R172" s="3" t="s">
        <v>59</v>
      </c>
      <c r="S172" s="3" t="s">
        <v>58</v>
      </c>
    </row>
    <row r="173" spans="1:19" x14ac:dyDescent="0.2">
      <c r="A173" t="s">
        <v>13</v>
      </c>
      <c r="B173" t="s">
        <v>7</v>
      </c>
      <c r="C173">
        <v>100</v>
      </c>
      <c r="D173" s="2">
        <v>4350497</v>
      </c>
      <c r="E173">
        <f t="shared" si="77"/>
        <v>-2.6128116473030593E-4</v>
      </c>
      <c r="F173" s="2">
        <v>15.2921</v>
      </c>
      <c r="G173">
        <f t="shared" si="78"/>
        <v>6.5397518818099794E-5</v>
      </c>
      <c r="H173" s="2">
        <v>5.7541399999999999E-2</v>
      </c>
      <c r="I173">
        <f t="shared" si="79"/>
        <v>6.7649232642061536E-4</v>
      </c>
      <c r="J173" s="2">
        <v>4.8729099999999997E-2</v>
      </c>
      <c r="K173">
        <f t="shared" si="80"/>
        <v>2.4837325779489825E-4</v>
      </c>
      <c r="L173" s="2">
        <v>5.02747E-3</v>
      </c>
      <c r="M173">
        <f t="shared" si="81"/>
        <v>-8.684695856784135E-4</v>
      </c>
      <c r="N173" s="2">
        <v>5.0160300000000003E-3</v>
      </c>
      <c r="O173">
        <f t="shared" si="82"/>
        <v>-1.5747027001160996E-4</v>
      </c>
      <c r="P173" s="3"/>
      <c r="Q173" s="3"/>
      <c r="R173" s="3"/>
      <c r="S173" s="3"/>
    </row>
    <row r="174" spans="1:19" x14ac:dyDescent="0.2">
      <c r="A174" t="s">
        <v>13</v>
      </c>
      <c r="B174" t="s">
        <v>7</v>
      </c>
      <c r="C174">
        <v>100</v>
      </c>
      <c r="D174" s="2">
        <v>4355365</v>
      </c>
      <c r="E174">
        <f t="shared" si="77"/>
        <v>-2.919683232732036E-4</v>
      </c>
      <c r="F174" s="2">
        <v>15.3042</v>
      </c>
      <c r="G174">
        <f t="shared" si="78"/>
        <v>-4.5736986193973494E-5</v>
      </c>
      <c r="H174" s="2">
        <v>5.5516000000000003E-2</v>
      </c>
      <c r="I174">
        <f t="shared" si="79"/>
        <v>3.0450944249546833E-4</v>
      </c>
      <c r="J174" s="2">
        <v>4.7951300000000002E-2</v>
      </c>
      <c r="K174">
        <f t="shared" si="80"/>
        <v>3.1282716507712235E-5</v>
      </c>
      <c r="L174" s="2">
        <v>4.9024000000000003E-3</v>
      </c>
      <c r="M174">
        <f t="shared" si="81"/>
        <v>-2.4154147004539356E-3</v>
      </c>
      <c r="N174" s="2">
        <v>4.9271200000000001E-3</v>
      </c>
      <c r="O174">
        <f t="shared" si="82"/>
        <v>-8.9627175283983737E-4</v>
      </c>
      <c r="P174" s="3"/>
      <c r="Q174" s="3"/>
      <c r="R174" s="3"/>
      <c r="S174" s="3"/>
    </row>
    <row r="175" spans="1:19" x14ac:dyDescent="0.2">
      <c r="A175" t="s">
        <v>13</v>
      </c>
      <c r="B175" t="s">
        <v>7</v>
      </c>
      <c r="C175">
        <v>100</v>
      </c>
      <c r="D175" s="2">
        <v>4353861</v>
      </c>
      <c r="E175">
        <f t="shared" si="77"/>
        <v>-3.1823683019585342E-4</v>
      </c>
      <c r="F175" s="2">
        <v>15.302300000000001</v>
      </c>
      <c r="G175">
        <f t="shared" si="78"/>
        <v>-3.2673759050555107E-5</v>
      </c>
      <c r="H175" s="2">
        <v>5.6939200000000002E-2</v>
      </c>
      <c r="I175">
        <f t="shared" si="79"/>
        <v>7.9445987274584637E-4</v>
      </c>
      <c r="J175" s="2">
        <v>4.8368899999999999E-2</v>
      </c>
      <c r="K175">
        <f t="shared" si="80"/>
        <v>3.5365798170903791E-4</v>
      </c>
      <c r="L175" s="2">
        <v>4.9288099999999996E-3</v>
      </c>
      <c r="M175">
        <f t="shared" si="81"/>
        <v>-1.0235393789042183E-3</v>
      </c>
      <c r="N175" s="2">
        <v>4.9377199999999996E-3</v>
      </c>
      <c r="O175">
        <f t="shared" si="82"/>
        <v>-2.7130668588774289E-4</v>
      </c>
      <c r="P175" s="3"/>
      <c r="Q175" s="3"/>
      <c r="R175" s="3"/>
      <c r="S175" s="3"/>
    </row>
    <row r="176" spans="1:19" x14ac:dyDescent="0.2">
      <c r="A176" t="s">
        <v>13</v>
      </c>
      <c r="B176" t="s">
        <v>7</v>
      </c>
      <c r="C176">
        <v>100</v>
      </c>
      <c r="D176" s="2">
        <v>4350058</v>
      </c>
      <c r="E176">
        <f t="shared" si="77"/>
        <v>-3.0059526135011399E-4</v>
      </c>
      <c r="F176" s="2">
        <v>15.2881</v>
      </c>
      <c r="G176">
        <f t="shared" si="78"/>
        <v>2.6164825317140193E-5</v>
      </c>
      <c r="H176" s="2">
        <v>5.6596500000000001E-2</v>
      </c>
      <c r="I176">
        <f t="shared" si="79"/>
        <v>3.5350366318169529E-4</v>
      </c>
      <c r="J176" s="2">
        <v>4.8294400000000001E-2</v>
      </c>
      <c r="K176">
        <f t="shared" si="80"/>
        <v>2.2989315146230681E-4</v>
      </c>
      <c r="L176" s="2">
        <v>5.0347500000000002E-3</v>
      </c>
      <c r="M176">
        <f t="shared" si="81"/>
        <v>-2.6287534518484716E-3</v>
      </c>
      <c r="N176" s="2">
        <v>4.9309000000000002E-3</v>
      </c>
      <c r="O176">
        <f t="shared" si="82"/>
        <v>-1.0028667807976525E-3</v>
      </c>
      <c r="P176" s="3"/>
      <c r="Q176" s="3"/>
      <c r="R176" s="3"/>
      <c r="S176" s="3"/>
    </row>
    <row r="177" spans="1:19" x14ac:dyDescent="0.2">
      <c r="A177" t="s">
        <v>13</v>
      </c>
      <c r="B177" t="s">
        <v>7</v>
      </c>
      <c r="C177">
        <v>100</v>
      </c>
      <c r="D177" s="2">
        <v>4354616</v>
      </c>
      <c r="E177">
        <f t="shared" si="77"/>
        <v>-2.6401785587196376E-4</v>
      </c>
      <c r="F177" s="2">
        <v>15.3025</v>
      </c>
      <c r="G177">
        <f t="shared" si="78"/>
        <v>-1.9604255430333064E-5</v>
      </c>
      <c r="H177" s="2">
        <v>5.7073699999999998E-2</v>
      </c>
      <c r="I177">
        <f t="shared" si="79"/>
        <v>-1.4818469376329647E-3</v>
      </c>
      <c r="J177" s="2">
        <v>4.9050200000000002E-2</v>
      </c>
      <c r="K177">
        <f t="shared" si="80"/>
        <v>-1.0020489048745858E-3</v>
      </c>
      <c r="L177" s="2">
        <v>4.9619199999999999E-3</v>
      </c>
      <c r="M177">
        <f t="shared" si="81"/>
        <v>7.6238266769395441E-4</v>
      </c>
      <c r="N177" s="2">
        <v>4.9036000000000001E-3</v>
      </c>
      <c r="O177">
        <f t="shared" si="82"/>
        <v>1.2237405669996047E-4</v>
      </c>
      <c r="P177" s="3"/>
      <c r="Q177" s="3"/>
      <c r="R177" s="3"/>
      <c r="S177" s="3"/>
    </row>
    <row r="178" spans="1:19" x14ac:dyDescent="0.2">
      <c r="A178" t="s">
        <v>13</v>
      </c>
      <c r="B178" t="s">
        <v>7</v>
      </c>
      <c r="C178">
        <v>100</v>
      </c>
      <c r="D178" s="2">
        <v>4349642</v>
      </c>
      <c r="E178">
        <f t="shared" si="77"/>
        <v>-2.3835359951860388E-4</v>
      </c>
      <c r="F178" s="2">
        <v>15.2888</v>
      </c>
      <c r="G178">
        <f t="shared" si="78"/>
        <v>3.924595439622572E-5</v>
      </c>
      <c r="H178" s="2">
        <v>5.8355999999999998E-2</v>
      </c>
      <c r="I178">
        <f t="shared" si="79"/>
        <v>-7.9106608997611704E-4</v>
      </c>
      <c r="J178" s="2">
        <v>4.9245299999999999E-2</v>
      </c>
      <c r="K178">
        <f t="shared" si="80"/>
        <v>-5.0740506958561618E-4</v>
      </c>
      <c r="L178" s="2">
        <v>4.8907300000000003E-3</v>
      </c>
      <c r="M178">
        <f t="shared" si="81"/>
        <v>9.406433591598627E-5</v>
      </c>
      <c r="N178" s="2">
        <v>4.8804499999999997E-3</v>
      </c>
      <c r="O178">
        <f t="shared" si="82"/>
        <v>-1.6391662381010311E-5</v>
      </c>
      <c r="P178" s="3"/>
      <c r="Q178" s="3"/>
      <c r="R178" s="3"/>
      <c r="S178" s="3"/>
    </row>
    <row r="179" spans="1:19" x14ac:dyDescent="0.2">
      <c r="A179" t="s">
        <v>13</v>
      </c>
      <c r="B179" t="s">
        <v>7</v>
      </c>
      <c r="C179">
        <v>100</v>
      </c>
      <c r="D179" s="2">
        <v>4346725</v>
      </c>
      <c r="E179">
        <f t="shared" si="77"/>
        <v>-2.4242262543703349E-4</v>
      </c>
      <c r="F179" s="2">
        <v>15.2835</v>
      </c>
      <c r="G179">
        <f t="shared" si="78"/>
        <v>8.5066286267718191E-5</v>
      </c>
      <c r="H179" s="2">
        <v>5.7777500000000002E-2</v>
      </c>
      <c r="I179">
        <f t="shared" si="79"/>
        <v>-6.2614916533624589E-4</v>
      </c>
      <c r="J179" s="2">
        <v>4.96529E-2</v>
      </c>
      <c r="K179">
        <f t="shared" si="80"/>
        <v>-7.2249682020894914E-4</v>
      </c>
      <c r="L179" s="2">
        <v>4.9049999999999996E-3</v>
      </c>
      <c r="M179">
        <f t="shared" si="81"/>
        <v>-3.2609138711124587E-4</v>
      </c>
      <c r="N179" s="2">
        <v>4.9294899999999999E-3</v>
      </c>
      <c r="O179">
        <f t="shared" si="82"/>
        <v>-3.001437850970264E-4</v>
      </c>
      <c r="P179" s="3"/>
      <c r="Q179" s="3"/>
      <c r="R179" s="3"/>
      <c r="S179" s="3"/>
    </row>
    <row r="180" spans="1:19" x14ac:dyDescent="0.2">
      <c r="A180" t="s">
        <v>13</v>
      </c>
      <c r="B180" t="s">
        <v>7</v>
      </c>
      <c r="C180">
        <v>100</v>
      </c>
      <c r="D180" s="2">
        <v>4345895</v>
      </c>
      <c r="E180">
        <f t="shared" si="77"/>
        <v>-2.5787804783787316E-4</v>
      </c>
      <c r="F180" s="2">
        <v>15.273199999999999</v>
      </c>
      <c r="G180">
        <f t="shared" si="78"/>
        <v>7.8575170246135385E-5</v>
      </c>
      <c r="H180" s="2">
        <v>5.6981400000000001E-2</v>
      </c>
      <c r="I180">
        <f t="shared" si="79"/>
        <v>-4.4482493535537189E-3</v>
      </c>
      <c r="J180" s="2">
        <v>4.9193599999999997E-2</v>
      </c>
      <c r="K180">
        <f t="shared" si="80"/>
        <v>-3.5357948426166405E-4</v>
      </c>
      <c r="L180" s="2">
        <v>5.0040500000000003E-3</v>
      </c>
      <c r="M180">
        <f t="shared" si="81"/>
        <v>3.5783825710791631E-4</v>
      </c>
      <c r="N180" s="2">
        <v>4.9438700000000004E-3</v>
      </c>
      <c r="O180">
        <f t="shared" si="82"/>
        <v>4.1685131561123895E-4</v>
      </c>
      <c r="P180" s="3"/>
      <c r="Q180" s="3"/>
      <c r="R180" s="3"/>
      <c r="S180" s="3"/>
    </row>
    <row r="181" spans="1:19" x14ac:dyDescent="0.2">
      <c r="A181" t="s">
        <v>13</v>
      </c>
      <c r="B181" t="s">
        <v>7</v>
      </c>
      <c r="C181">
        <v>100</v>
      </c>
      <c r="D181" s="2">
        <v>4355622</v>
      </c>
      <c r="E181">
        <f t="shared" si="77"/>
        <v>-2.352726764413091E-4</v>
      </c>
      <c r="F181" s="2">
        <v>15.3004</v>
      </c>
      <c r="G181">
        <f t="shared" si="78"/>
        <v>-3.9213123325297564E-5</v>
      </c>
      <c r="H181" s="2">
        <v>5.7350400000000003E-2</v>
      </c>
      <c r="I181">
        <f t="shared" si="79"/>
        <v>-1.1338401651121821E-3</v>
      </c>
      <c r="J181" s="2">
        <v>4.8583300000000003E-2</v>
      </c>
      <c r="K181">
        <f t="shared" si="80"/>
        <v>-6.3150532768327275E-4</v>
      </c>
      <c r="L181" s="2">
        <v>4.9323700000000002E-3</v>
      </c>
      <c r="M181">
        <f t="shared" si="81"/>
        <v>-1.354508752677669E-3</v>
      </c>
      <c r="N181" s="2">
        <v>4.9240899999999999E-3</v>
      </c>
      <c r="O181">
        <f t="shared" si="82"/>
        <v>-8.1775606113494649E-4</v>
      </c>
      <c r="P181" s="3"/>
      <c r="Q181" s="3"/>
      <c r="R181" s="3"/>
      <c r="S181" s="3"/>
    </row>
    <row r="182" spans="1:19" x14ac:dyDescent="0.2">
      <c r="A182" t="s">
        <v>13</v>
      </c>
      <c r="B182" t="s">
        <v>8</v>
      </c>
      <c r="C182">
        <v>100</v>
      </c>
      <c r="D182">
        <v>4354638</v>
      </c>
      <c r="E182">
        <f t="shared" ref="E182:E191" si="83">(D182-D152)/D152</f>
        <v>-5.0311809274174114E-4</v>
      </c>
      <c r="F182" s="2">
        <v>15.302199999999999</v>
      </c>
      <c r="G182">
        <f t="shared" ref="G182:G191" si="84">(F182-F152)/F152</f>
        <v>-5.8811613333341292E-5</v>
      </c>
      <c r="H182" s="2">
        <v>5.6909000000000001E-2</v>
      </c>
      <c r="I182">
        <f t="shared" ref="I182:I191" si="85">(H182-H152)/H152</f>
        <v>-1.0076115043253413E-3</v>
      </c>
      <c r="J182" s="2">
        <v>4.8134900000000001E-2</v>
      </c>
      <c r="K182">
        <f t="shared" ref="K182:K191" si="86">(J182-J152)/J152</f>
        <v>-6.6228190371794198E-4</v>
      </c>
      <c r="L182" s="2">
        <v>4.8987199999999996E-3</v>
      </c>
      <c r="M182">
        <f t="shared" ref="M182:M191" si="87">(L182-L152)/L152</f>
        <v>2.2443864763950498E-3</v>
      </c>
      <c r="N182" s="2">
        <v>4.9003199999999997E-3</v>
      </c>
      <c r="O182">
        <f t="shared" ref="O182:O191" si="88">(N182-N152)/N152</f>
        <v>5.2268792264209389E-4</v>
      </c>
      <c r="P182" s="3">
        <v>0.84521999999999997</v>
      </c>
      <c r="Q182" s="3">
        <v>4.8899999999999999E-2</v>
      </c>
      <c r="R182" s="3" t="s">
        <v>60</v>
      </c>
      <c r="S182" s="3" t="s">
        <v>58</v>
      </c>
    </row>
    <row r="183" spans="1:19" x14ac:dyDescent="0.2">
      <c r="A183" t="s">
        <v>13</v>
      </c>
      <c r="B183" t="s">
        <v>8</v>
      </c>
      <c r="C183">
        <v>100</v>
      </c>
      <c r="D183" s="2">
        <v>4349767</v>
      </c>
      <c r="E183">
        <f t="shared" si="83"/>
        <v>-4.2903424322909508E-4</v>
      </c>
      <c r="F183" s="2">
        <v>15.291499999999999</v>
      </c>
      <c r="G183">
        <f t="shared" si="84"/>
        <v>2.6159007527193449E-5</v>
      </c>
      <c r="H183" s="2">
        <v>5.7541700000000001E-2</v>
      </c>
      <c r="I183">
        <f t="shared" si="85"/>
        <v>6.8170949089175462E-4</v>
      </c>
      <c r="J183" s="2">
        <v>4.8728899999999999E-2</v>
      </c>
      <c r="K183">
        <f t="shared" si="86"/>
        <v>2.4426791469087274E-4</v>
      </c>
      <c r="L183" s="2">
        <v>5.0267599999999999E-3</v>
      </c>
      <c r="M183">
        <f t="shared" si="87"/>
        <v>-1.0095710515438067E-3</v>
      </c>
      <c r="N183" s="2">
        <v>5.0157400000000003E-3</v>
      </c>
      <c r="O183">
        <f t="shared" si="88"/>
        <v>-2.1527581216779904E-4</v>
      </c>
      <c r="P183" s="3"/>
      <c r="Q183" s="3"/>
      <c r="R183" s="3"/>
      <c r="S183" s="3"/>
    </row>
    <row r="184" spans="1:19" x14ac:dyDescent="0.2">
      <c r="A184" t="s">
        <v>13</v>
      </c>
      <c r="B184" t="s">
        <v>8</v>
      </c>
      <c r="C184">
        <v>100</v>
      </c>
      <c r="D184" s="2">
        <v>4354447</v>
      </c>
      <c r="E184">
        <f t="shared" si="83"/>
        <v>-5.0268131129584581E-4</v>
      </c>
      <c r="F184" s="2">
        <v>15.303599999999999</v>
      </c>
      <c r="G184">
        <f t="shared" si="84"/>
        <v>-8.4940117217395929E-5</v>
      </c>
      <c r="H184" s="2">
        <v>5.55439E-2</v>
      </c>
      <c r="I184">
        <f t="shared" si="85"/>
        <v>8.0722029726603881E-4</v>
      </c>
      <c r="J184" s="2">
        <v>4.79751E-2</v>
      </c>
      <c r="K184">
        <f t="shared" si="86"/>
        <v>5.2763515176286317E-4</v>
      </c>
      <c r="L184" s="2">
        <v>4.9067599999999996E-3</v>
      </c>
      <c r="M184">
        <f t="shared" si="87"/>
        <v>-1.528202561112943E-3</v>
      </c>
      <c r="N184" s="2">
        <v>4.9289599999999996E-3</v>
      </c>
      <c r="O184">
        <f t="shared" si="88"/>
        <v>-5.2316314984777383E-4</v>
      </c>
      <c r="P184" s="3"/>
      <c r="Q184" s="3"/>
      <c r="R184" s="3"/>
      <c r="S184" s="3"/>
    </row>
    <row r="185" spans="1:19" x14ac:dyDescent="0.2">
      <c r="A185" t="s">
        <v>13</v>
      </c>
      <c r="B185" t="s">
        <v>8</v>
      </c>
      <c r="C185">
        <v>100</v>
      </c>
      <c r="D185" s="2">
        <v>4353219</v>
      </c>
      <c r="E185">
        <f t="shared" si="83"/>
        <v>-4.656452320614652E-4</v>
      </c>
      <c r="F185" s="2">
        <v>15.3018</v>
      </c>
      <c r="G185">
        <f t="shared" si="84"/>
        <v>-6.5347518101226305E-5</v>
      </c>
      <c r="H185" s="2">
        <v>5.69133E-2</v>
      </c>
      <c r="I185">
        <f t="shared" si="85"/>
        <v>3.392273350441149E-4</v>
      </c>
      <c r="J185" s="2">
        <v>4.83636E-2</v>
      </c>
      <c r="K185">
        <f t="shared" si="86"/>
        <v>2.4404468913255165E-4</v>
      </c>
      <c r="L185" s="2">
        <v>4.9269200000000004E-3</v>
      </c>
      <c r="M185">
        <f t="shared" si="87"/>
        <v>-1.4066065919988713E-3</v>
      </c>
      <c r="N185" s="2">
        <v>4.9362599999999996E-3</v>
      </c>
      <c r="O185">
        <f t="shared" si="88"/>
        <v>-5.6690949289960404E-4</v>
      </c>
      <c r="P185" s="3"/>
      <c r="Q185" s="3"/>
      <c r="R185" s="3"/>
      <c r="S185" s="3"/>
    </row>
    <row r="186" spans="1:19" x14ac:dyDescent="0.2">
      <c r="A186" t="s">
        <v>13</v>
      </c>
      <c r="B186" t="s">
        <v>8</v>
      </c>
      <c r="C186">
        <v>100</v>
      </c>
      <c r="D186" s="2">
        <v>4349504</v>
      </c>
      <c r="E186">
        <f t="shared" si="83"/>
        <v>-4.2791160293112555E-4</v>
      </c>
      <c r="F186" s="2">
        <v>15.2882</v>
      </c>
      <c r="G186">
        <f t="shared" si="84"/>
        <v>3.2706031646396192E-5</v>
      </c>
      <c r="H186" s="2">
        <v>5.6657600000000002E-2</v>
      </c>
      <c r="I186">
        <f t="shared" si="85"/>
        <v>1.4334573542018438E-3</v>
      </c>
      <c r="J186" s="2">
        <v>4.8313099999999998E-2</v>
      </c>
      <c r="K186">
        <f t="shared" si="86"/>
        <v>6.1719062284467914E-4</v>
      </c>
      <c r="L186" s="2">
        <v>5.0389500000000004E-3</v>
      </c>
      <c r="M186">
        <f t="shared" si="87"/>
        <v>-1.7967440699521615E-3</v>
      </c>
      <c r="N186" s="2">
        <v>4.9327099999999999E-3</v>
      </c>
      <c r="O186">
        <f t="shared" si="88"/>
        <v>-6.3616195792020301E-4</v>
      </c>
      <c r="P186" s="3"/>
      <c r="Q186" s="3"/>
      <c r="R186" s="3"/>
      <c r="S186" s="3"/>
    </row>
    <row r="187" spans="1:19" x14ac:dyDescent="0.2">
      <c r="A187" t="s">
        <v>13</v>
      </c>
      <c r="B187" t="s">
        <v>8</v>
      </c>
      <c r="C187">
        <v>100</v>
      </c>
      <c r="D187" s="2">
        <v>4353918</v>
      </c>
      <c r="E187">
        <f t="shared" si="83"/>
        <v>-4.2426521534903391E-4</v>
      </c>
      <c r="F187" s="2">
        <v>15.302300000000001</v>
      </c>
      <c r="G187">
        <f t="shared" si="84"/>
        <v>-3.2673759050555107E-5</v>
      </c>
      <c r="H187" s="2">
        <v>5.71657E-2</v>
      </c>
      <c r="I187">
        <f t="shared" si="85"/>
        <v>1.277152614489165E-4</v>
      </c>
      <c r="J187" s="2">
        <v>4.9085400000000001E-2</v>
      </c>
      <c r="K187">
        <f t="shared" si="86"/>
        <v>-2.8513586724074271E-4</v>
      </c>
      <c r="L187" s="2">
        <v>4.9433899999999998E-3</v>
      </c>
      <c r="M187">
        <f t="shared" si="87"/>
        <v>-2.9749059122977581E-3</v>
      </c>
      <c r="N187" s="2">
        <v>4.8957599999999999E-3</v>
      </c>
      <c r="O187">
        <f t="shared" si="88"/>
        <v>-1.4766469508464962E-3</v>
      </c>
      <c r="P187" s="3"/>
      <c r="Q187" s="3"/>
      <c r="R187" s="3"/>
      <c r="S187" s="3"/>
    </row>
    <row r="188" spans="1:19" x14ac:dyDescent="0.2">
      <c r="A188" t="s">
        <v>13</v>
      </c>
      <c r="B188" t="s">
        <v>8</v>
      </c>
      <c r="C188">
        <v>100</v>
      </c>
      <c r="D188" s="2">
        <v>4348698</v>
      </c>
      <c r="E188">
        <f t="shared" si="83"/>
        <v>-4.5533122530988843E-4</v>
      </c>
      <c r="F188" s="2">
        <v>15.288399999999999</v>
      </c>
      <c r="G188">
        <f t="shared" si="84"/>
        <v>1.3081984798703176E-5</v>
      </c>
      <c r="H188" s="2">
        <v>5.8448699999999999E-2</v>
      </c>
      <c r="I188">
        <f t="shared" si="85"/>
        <v>7.9620288276807942E-4</v>
      </c>
      <c r="J188" s="2">
        <v>4.9283100000000003E-2</v>
      </c>
      <c r="K188">
        <f t="shared" si="86"/>
        <v>2.5979139562779831E-4</v>
      </c>
      <c r="L188" s="2">
        <v>4.88698E-3</v>
      </c>
      <c r="M188">
        <f t="shared" si="87"/>
        <v>-6.7276448948634952E-4</v>
      </c>
      <c r="N188" s="2">
        <v>4.8791700000000004E-3</v>
      </c>
      <c r="O188">
        <f t="shared" si="88"/>
        <v>-2.7865826047575353E-4</v>
      </c>
      <c r="P188" s="3"/>
      <c r="Q188" s="3"/>
      <c r="R188" s="3"/>
      <c r="S188" s="3"/>
    </row>
    <row r="189" spans="1:19" x14ac:dyDescent="0.2">
      <c r="A189" t="s">
        <v>13</v>
      </c>
      <c r="B189" t="s">
        <v>8</v>
      </c>
      <c r="C189">
        <v>100</v>
      </c>
      <c r="D189" s="2">
        <v>4345841</v>
      </c>
      <c r="E189">
        <f t="shared" si="83"/>
        <v>-4.4574482741648091E-4</v>
      </c>
      <c r="F189" s="2">
        <v>15.2827</v>
      </c>
      <c r="G189">
        <f t="shared" si="84"/>
        <v>3.2717802410687671E-5</v>
      </c>
      <c r="H189" s="2">
        <v>5.78001E-2</v>
      </c>
      <c r="I189">
        <f t="shared" si="85"/>
        <v>-2.3523836045785858E-4</v>
      </c>
      <c r="J189" s="2">
        <v>4.9656400000000003E-2</v>
      </c>
      <c r="K189">
        <f t="shared" si="86"/>
        <v>-6.5205841155340709E-4</v>
      </c>
      <c r="L189" s="2">
        <v>4.89983E-3</v>
      </c>
      <c r="M189">
        <f t="shared" si="87"/>
        <v>-1.379774181714363E-3</v>
      </c>
      <c r="N189" s="2">
        <v>4.9275100000000004E-3</v>
      </c>
      <c r="O189">
        <f t="shared" si="88"/>
        <v>-7.0168749759163033E-4</v>
      </c>
      <c r="P189" s="3"/>
      <c r="Q189" s="3"/>
      <c r="R189" s="3"/>
      <c r="S189" s="3"/>
    </row>
    <row r="190" spans="1:19" x14ac:dyDescent="0.2">
      <c r="A190" t="s">
        <v>13</v>
      </c>
      <c r="B190" t="s">
        <v>8</v>
      </c>
      <c r="C190">
        <v>100</v>
      </c>
      <c r="D190" s="2">
        <v>4345153</v>
      </c>
      <c r="E190">
        <f t="shared" si="83"/>
        <v>-4.2856985113466341E-4</v>
      </c>
      <c r="F190" s="2">
        <v>15.273199999999999</v>
      </c>
      <c r="G190">
        <f t="shared" si="84"/>
        <v>7.8575170246135385E-5</v>
      </c>
      <c r="H190" s="2">
        <v>5.6937500000000002E-2</v>
      </c>
      <c r="I190">
        <f t="shared" si="85"/>
        <v>-5.2152491438954528E-3</v>
      </c>
      <c r="J190" s="2">
        <v>4.91732E-2</v>
      </c>
      <c r="K190">
        <f t="shared" si="86"/>
        <v>-7.6812094856835988E-4</v>
      </c>
      <c r="L190" s="2">
        <v>4.9918499999999999E-3</v>
      </c>
      <c r="M190">
        <f t="shared" si="87"/>
        <v>-2.081059361168704E-3</v>
      </c>
      <c r="N190" s="2">
        <v>4.9393199999999996E-3</v>
      </c>
      <c r="O190">
        <f t="shared" si="88"/>
        <v>-5.0386396886969705E-4</v>
      </c>
      <c r="P190" s="3"/>
      <c r="Q190" s="3"/>
      <c r="R190" s="3"/>
      <c r="S190" s="3"/>
    </row>
    <row r="191" spans="1:19" x14ac:dyDescent="0.2">
      <c r="A191" t="s">
        <v>13</v>
      </c>
      <c r="B191" t="s">
        <v>8</v>
      </c>
      <c r="C191">
        <v>100</v>
      </c>
      <c r="D191" s="2">
        <v>4354963</v>
      </c>
      <c r="E191">
        <f t="shared" si="83"/>
        <v>-3.865357923191849E-4</v>
      </c>
      <c r="F191" s="2">
        <v>15.299899999999999</v>
      </c>
      <c r="G191">
        <f t="shared" si="84"/>
        <v>-7.1890726096398208E-5</v>
      </c>
      <c r="H191" s="2">
        <v>5.7373300000000002E-2</v>
      </c>
      <c r="I191">
        <f t="shared" si="85"/>
        <v>-7.3499316386688575E-4</v>
      </c>
      <c r="J191" s="2">
        <v>4.8592999999999997E-2</v>
      </c>
      <c r="K191">
        <f t="shared" si="86"/>
        <v>-4.3197432838277421E-4</v>
      </c>
      <c r="L191" s="2">
        <v>4.9307300000000004E-3</v>
      </c>
      <c r="M191">
        <f t="shared" si="87"/>
        <v>-1.6865557413758829E-3</v>
      </c>
      <c r="N191" s="2">
        <v>4.9234300000000003E-3</v>
      </c>
      <c r="O191">
        <f t="shared" si="88"/>
        <v>-9.5168137139515726E-4</v>
      </c>
      <c r="P191" s="3"/>
      <c r="Q191" s="3"/>
      <c r="R191" s="3"/>
      <c r="S191" s="3"/>
    </row>
    <row r="192" spans="1:19" x14ac:dyDescent="0.2">
      <c r="A192" t="s">
        <v>13</v>
      </c>
      <c r="B192" t="s">
        <v>9</v>
      </c>
      <c r="C192">
        <v>100</v>
      </c>
      <c r="D192">
        <v>4662083</v>
      </c>
      <c r="E192">
        <f t="shared" ref="E192:E200" si="89">(D192-D152)/D152</f>
        <v>7.0063096333802324E-2</v>
      </c>
      <c r="F192" s="2">
        <v>15.633900000000001</v>
      </c>
      <c r="G192">
        <f t="shared" ref="G192:G200" si="90">(F192-F152)/F152</f>
        <v>2.1616535211819825E-2</v>
      </c>
      <c r="H192" s="2">
        <v>3.8822799999999998E-2</v>
      </c>
      <c r="I192">
        <f t="shared" ref="I192:I200" si="91">(H192-H152)/H152</f>
        <v>-0.31849651724525341</v>
      </c>
      <c r="J192" s="2">
        <v>3.3542299999999997E-2</v>
      </c>
      <c r="K192">
        <f t="shared" ref="K192:K200" si="92">(J192-J152)/J152</f>
        <v>-0.30362199689412633</v>
      </c>
      <c r="L192" s="2">
        <v>4.8373000000000001E-3</v>
      </c>
      <c r="M192">
        <f t="shared" ref="M192:M200" si="93">(L192-L152)/L152</f>
        <v>-1.0321722674031943E-2</v>
      </c>
      <c r="N192" s="2">
        <v>4.8335100000000001E-3</v>
      </c>
      <c r="O192">
        <f t="shared" ref="O192:O200" si="94">(N192-N152)/N152</f>
        <v>-1.3118241808500226E-2</v>
      </c>
      <c r="P192" s="3" t="s">
        <v>61</v>
      </c>
      <c r="Q192" s="3" t="s">
        <v>62</v>
      </c>
      <c r="R192" s="3" t="s">
        <v>63</v>
      </c>
      <c r="S192" s="3" t="s">
        <v>64</v>
      </c>
    </row>
    <row r="193" spans="1:19" x14ac:dyDescent="0.2">
      <c r="A193" t="s">
        <v>13</v>
      </c>
      <c r="B193" t="s">
        <v>9</v>
      </c>
      <c r="C193">
        <v>100</v>
      </c>
      <c r="D193" s="2">
        <v>4661672</v>
      </c>
      <c r="E193">
        <f t="shared" si="89"/>
        <v>7.1246341029599453E-2</v>
      </c>
      <c r="F193" s="2">
        <v>15.6317</v>
      </c>
      <c r="G193">
        <f t="shared" si="90"/>
        <v>2.2274394909457151E-2</v>
      </c>
      <c r="H193" s="2">
        <v>3.91875E-2</v>
      </c>
      <c r="I193">
        <f t="shared" si="91"/>
        <v>-0.31850789096126253</v>
      </c>
      <c r="J193" s="2">
        <v>4.8728899999999999E-2</v>
      </c>
      <c r="K193">
        <f t="shared" si="92"/>
        <v>2.4426791469087274E-4</v>
      </c>
      <c r="L193" s="2">
        <v>5.04032E-3</v>
      </c>
      <c r="M193">
        <f t="shared" si="93"/>
        <v>1.6852682120258088E-3</v>
      </c>
      <c r="N193" s="2">
        <v>5.0157400000000003E-3</v>
      </c>
      <c r="O193">
        <f t="shared" si="94"/>
        <v>-2.1527581216779904E-4</v>
      </c>
    </row>
    <row r="194" spans="1:19" x14ac:dyDescent="0.2">
      <c r="A194" t="s">
        <v>13</v>
      </c>
      <c r="B194" t="s">
        <v>9</v>
      </c>
      <c r="C194">
        <v>100</v>
      </c>
      <c r="D194" s="2">
        <v>4662323</v>
      </c>
      <c r="E194">
        <f t="shared" si="89"/>
        <v>7.0165588732777145E-2</v>
      </c>
      <c r="F194" s="2">
        <v>15.631399999999999</v>
      </c>
      <c r="G194">
        <f t="shared" si="90"/>
        <v>2.133303713189889E-2</v>
      </c>
      <c r="H194" s="2">
        <v>3.84269E-2</v>
      </c>
      <c r="I194">
        <f t="shared" si="91"/>
        <v>-0.30761219551308044</v>
      </c>
      <c r="J194" s="2">
        <v>4.79751E-2</v>
      </c>
      <c r="K194">
        <f t="shared" si="92"/>
        <v>5.2763515176286317E-4</v>
      </c>
      <c r="L194" s="2">
        <v>4.9199300000000003E-3</v>
      </c>
      <c r="M194">
        <f t="shared" si="93"/>
        <v>1.1517478689612524E-3</v>
      </c>
      <c r="N194" s="2">
        <v>4.9289599999999996E-3</v>
      </c>
      <c r="O194">
        <f t="shared" si="94"/>
        <v>-5.2316314984777383E-4</v>
      </c>
    </row>
    <row r="195" spans="1:19" x14ac:dyDescent="0.2">
      <c r="A195" t="s">
        <v>13</v>
      </c>
      <c r="B195" t="s">
        <v>9</v>
      </c>
      <c r="C195">
        <v>100</v>
      </c>
      <c r="D195" s="2">
        <v>4663728</v>
      </c>
      <c r="E195">
        <f t="shared" si="89"/>
        <v>7.0829737096426454E-2</v>
      </c>
      <c r="F195" s="2">
        <v>15.6341</v>
      </c>
      <c r="G195">
        <f t="shared" si="90"/>
        <v>2.1649632746948311E-2</v>
      </c>
      <c r="H195" s="2">
        <v>3.82107E-2</v>
      </c>
      <c r="I195">
        <f t="shared" si="91"/>
        <v>-0.32838787921397689</v>
      </c>
      <c r="J195" s="2">
        <v>4.83636E-2</v>
      </c>
      <c r="K195">
        <f t="shared" si="92"/>
        <v>2.4404468913255165E-4</v>
      </c>
      <c r="L195" s="2">
        <v>4.9343599999999996E-3</v>
      </c>
      <c r="M195">
        <f t="shared" si="93"/>
        <v>1.0134053256469229E-4</v>
      </c>
      <c r="N195" s="2">
        <v>4.9362599999999996E-3</v>
      </c>
      <c r="O195">
        <f t="shared" si="94"/>
        <v>-5.6690949289960404E-4</v>
      </c>
    </row>
    <row r="196" spans="1:19" x14ac:dyDescent="0.2">
      <c r="A196" t="s">
        <v>13</v>
      </c>
      <c r="B196" t="s">
        <v>9</v>
      </c>
      <c r="C196">
        <v>100</v>
      </c>
      <c r="D196" s="2">
        <v>4664290</v>
      </c>
      <c r="E196">
        <f t="shared" si="89"/>
        <v>7.1913969084650656E-2</v>
      </c>
      <c r="F196" s="2">
        <v>15.629899999999999</v>
      </c>
      <c r="G196">
        <f t="shared" si="90"/>
        <v>2.2384008058766204E-2</v>
      </c>
      <c r="H196" s="2">
        <v>3.9308999999999997E-2</v>
      </c>
      <c r="I196">
        <f t="shared" si="91"/>
        <v>-0.30520622519950869</v>
      </c>
      <c r="J196" s="2">
        <v>4.8313099999999998E-2</v>
      </c>
      <c r="K196">
        <f t="shared" si="92"/>
        <v>6.1719062284467914E-4</v>
      </c>
      <c r="L196" s="2">
        <v>4.9994699999999998E-3</v>
      </c>
      <c r="M196">
        <f t="shared" si="93"/>
        <v>-9.617632259777199E-3</v>
      </c>
      <c r="N196" s="2">
        <v>4.9327099999999999E-3</v>
      </c>
      <c r="O196">
        <f t="shared" si="94"/>
        <v>-6.3616195792020301E-4</v>
      </c>
    </row>
    <row r="197" spans="1:19" x14ac:dyDescent="0.2">
      <c r="A197" t="s">
        <v>13</v>
      </c>
      <c r="B197" t="s">
        <v>9</v>
      </c>
      <c r="C197">
        <v>100</v>
      </c>
      <c r="D197" s="2">
        <v>4664623</v>
      </c>
      <c r="E197">
        <f t="shared" si="89"/>
        <v>7.0907619922649656E-2</v>
      </c>
      <c r="F197" s="2">
        <v>15.6402</v>
      </c>
      <c r="G197">
        <f t="shared" si="90"/>
        <v>2.2048252607366012E-2</v>
      </c>
      <c r="H197" s="2">
        <v>3.9203399999999999E-2</v>
      </c>
      <c r="I197">
        <f t="shared" si="91"/>
        <v>-0.31412705744037622</v>
      </c>
      <c r="J197" s="2">
        <v>4.9085400000000001E-2</v>
      </c>
      <c r="K197">
        <f t="shared" si="92"/>
        <v>-2.8513586724074271E-4</v>
      </c>
      <c r="L197" s="2">
        <v>4.9318599999999997E-3</v>
      </c>
      <c r="M197">
        <f t="shared" si="93"/>
        <v>-5.3003747373006919E-3</v>
      </c>
      <c r="N197" s="2">
        <v>4.8957599999999999E-3</v>
      </c>
      <c r="O197">
        <f t="shared" si="94"/>
        <v>-1.4766469508464962E-3</v>
      </c>
    </row>
    <row r="198" spans="1:19" x14ac:dyDescent="0.2">
      <c r="A198" t="s">
        <v>13</v>
      </c>
      <c r="B198" t="s">
        <v>9</v>
      </c>
      <c r="C198">
        <v>100</v>
      </c>
      <c r="D198" s="2">
        <v>4663168</v>
      </c>
      <c r="E198">
        <f t="shared" si="89"/>
        <v>7.1825340366411777E-2</v>
      </c>
      <c r="F198" s="2">
        <v>15.634399999999999</v>
      </c>
      <c r="G198">
        <f t="shared" si="90"/>
        <v>2.2644915686607949E-2</v>
      </c>
      <c r="H198" s="2">
        <v>3.9654000000000002E-2</v>
      </c>
      <c r="I198">
        <f t="shared" si="91"/>
        <v>-0.32101872874651982</v>
      </c>
      <c r="J198" s="2">
        <v>4.9287999999999998E-2</v>
      </c>
      <c r="K198">
        <f t="shared" si="92"/>
        <v>3.592427892664647E-4</v>
      </c>
      <c r="L198" s="2">
        <v>4.8902700000000004E-3</v>
      </c>
      <c r="M198">
        <f t="shared" si="93"/>
        <v>0</v>
      </c>
      <c r="N198" s="2">
        <v>4.8799999999999998E-3</v>
      </c>
      <c r="O198">
        <f t="shared" si="94"/>
        <v>-1.085947632737268E-4</v>
      </c>
    </row>
    <row r="199" spans="1:19" x14ac:dyDescent="0.2">
      <c r="A199" t="s">
        <v>13</v>
      </c>
      <c r="B199" t="s">
        <v>9</v>
      </c>
      <c r="C199">
        <v>100</v>
      </c>
      <c r="D199" s="2">
        <v>4663137</v>
      </c>
      <c r="E199">
        <f t="shared" si="89"/>
        <v>7.2533125533749535E-2</v>
      </c>
      <c r="F199" s="2">
        <v>15.6378</v>
      </c>
      <c r="G199">
        <f t="shared" si="90"/>
        <v>2.3268901074452685E-2</v>
      </c>
      <c r="H199" s="2">
        <v>3.9446200000000001E-2</v>
      </c>
      <c r="I199">
        <f t="shared" si="91"/>
        <v>-0.31770151365506794</v>
      </c>
      <c r="J199" s="2">
        <v>4.9656400000000003E-2</v>
      </c>
      <c r="K199">
        <f t="shared" si="92"/>
        <v>-6.5205841155340709E-4</v>
      </c>
      <c r="L199" s="2">
        <v>4.8774400000000002E-3</v>
      </c>
      <c r="M199">
        <f t="shared" si="93"/>
        <v>-5.9430155301021951E-3</v>
      </c>
      <c r="N199" s="2">
        <v>4.9275100000000004E-3</v>
      </c>
      <c r="O199">
        <f t="shared" si="94"/>
        <v>-7.0168749759163033E-4</v>
      </c>
    </row>
    <row r="200" spans="1:19" x14ac:dyDescent="0.2">
      <c r="A200" t="s">
        <v>13</v>
      </c>
      <c r="B200" t="s">
        <v>9</v>
      </c>
      <c r="C200">
        <v>100</v>
      </c>
      <c r="D200" s="2">
        <v>4662332</v>
      </c>
      <c r="E200">
        <f t="shared" si="89"/>
        <v>7.2536194943841933E-2</v>
      </c>
      <c r="F200" s="2">
        <v>15.6366</v>
      </c>
      <c r="G200">
        <f t="shared" si="90"/>
        <v>2.3873755893137727E-2</v>
      </c>
      <c r="H200" s="2">
        <v>3.8270800000000001E-2</v>
      </c>
      <c r="I200">
        <f t="shared" si="91"/>
        <v>-0.33135089803620099</v>
      </c>
      <c r="J200" s="2">
        <v>4.91732E-2</v>
      </c>
      <c r="K200">
        <f t="shared" si="92"/>
        <v>-7.6812094856835988E-4</v>
      </c>
      <c r="L200" s="2">
        <v>4.9640300000000004E-3</v>
      </c>
      <c r="M200">
        <f t="shared" si="93"/>
        <v>-7.6425455694024988E-3</v>
      </c>
      <c r="N200" s="2">
        <v>4.9393199999999996E-3</v>
      </c>
      <c r="O200">
        <f t="shared" si="94"/>
        <v>-5.0386396886969705E-4</v>
      </c>
    </row>
    <row r="201" spans="1:19" x14ac:dyDescent="0.2">
      <c r="A201" t="s">
        <v>13</v>
      </c>
      <c r="B201" t="s">
        <v>9</v>
      </c>
      <c r="C201">
        <v>100</v>
      </c>
      <c r="D201" s="2">
        <v>4663270</v>
      </c>
      <c r="E201">
        <f>(D200-D160)/D160</f>
        <v>7.2536194943841933E-2</v>
      </c>
      <c r="F201" s="2">
        <v>15.6302</v>
      </c>
      <c r="G201">
        <f>(F200-F160)/F160</f>
        <v>2.3873755893137727E-2</v>
      </c>
      <c r="H201" s="2">
        <v>3.9086500000000003E-2</v>
      </c>
      <c r="I201">
        <f>(H200-H160)/H160</f>
        <v>-0.33135089803620099</v>
      </c>
      <c r="J201" s="2">
        <v>4.8592999999999997E-2</v>
      </c>
      <c r="K201">
        <f>(J200-J160)/J160</f>
        <v>-7.6812094856835988E-4</v>
      </c>
      <c r="L201" s="2">
        <v>4.9354000000000004E-3</v>
      </c>
      <c r="M201">
        <f>(L200-L160)/L160</f>
        <v>-7.6425455694024988E-3</v>
      </c>
      <c r="N201" s="2">
        <v>4.9234300000000003E-3</v>
      </c>
      <c r="O201">
        <f>(N200-N160)/N160</f>
        <v>-5.0386396886969705E-4</v>
      </c>
    </row>
    <row r="203" spans="1:19" x14ac:dyDescent="0.2">
      <c r="F203" s="2"/>
      <c r="H203" s="2"/>
      <c r="J203" s="2"/>
      <c r="L203" s="2"/>
      <c r="N203" s="2"/>
      <c r="P203" s="1"/>
      <c r="Q203" s="1"/>
      <c r="R203" s="3"/>
      <c r="S203" s="3"/>
    </row>
    <row r="204" spans="1:19" x14ac:dyDescent="0.2">
      <c r="F204" s="2"/>
      <c r="H204" s="2"/>
      <c r="J204" s="2"/>
      <c r="L204" s="2"/>
      <c r="N204" s="2"/>
      <c r="P204" s="3"/>
      <c r="Q204" s="3"/>
      <c r="R204" s="3"/>
      <c r="S204" s="3"/>
    </row>
    <row r="205" spans="1:19" x14ac:dyDescent="0.2">
      <c r="F205" s="2"/>
      <c r="H205" s="2"/>
      <c r="J205" s="2"/>
      <c r="L205" s="2"/>
      <c r="N205" s="2"/>
      <c r="P205" s="3"/>
      <c r="Q205" s="3"/>
      <c r="R205" s="3"/>
      <c r="S205" s="3"/>
    </row>
    <row r="206" spans="1:19" x14ac:dyDescent="0.2">
      <c r="F206" s="2"/>
      <c r="H206" s="2"/>
      <c r="J206" s="2"/>
      <c r="L206" s="2"/>
      <c r="N206" s="2"/>
      <c r="P206" s="3"/>
      <c r="Q206" s="3"/>
      <c r="R206" s="3"/>
      <c r="S206" s="3"/>
    </row>
    <row r="207" spans="1:19" x14ac:dyDescent="0.2">
      <c r="F207" s="2"/>
      <c r="H207" s="2"/>
      <c r="J207" s="2"/>
      <c r="L207" s="2"/>
      <c r="N207" s="2"/>
      <c r="P207" s="3"/>
      <c r="Q207" s="3"/>
      <c r="R207" s="3"/>
      <c r="S207" s="3"/>
    </row>
    <row r="208" spans="1:19" x14ac:dyDescent="0.2">
      <c r="F208" s="2"/>
      <c r="H208" s="2"/>
      <c r="J208" s="2"/>
      <c r="L208" s="2"/>
      <c r="N208" s="2"/>
      <c r="P208" s="1"/>
      <c r="Q208" s="1"/>
      <c r="R208" s="3"/>
      <c r="S208" s="3"/>
    </row>
    <row r="209" spans="6:19" x14ac:dyDescent="0.2">
      <c r="F209" s="2"/>
      <c r="H209" s="2"/>
      <c r="J209" s="2"/>
      <c r="L209" s="2"/>
      <c r="N209" s="2"/>
      <c r="P209" s="1"/>
      <c r="Q209" s="3"/>
      <c r="R209" s="3"/>
      <c r="S209" s="3"/>
    </row>
    <row r="210" spans="6:19" x14ac:dyDescent="0.2">
      <c r="F210" s="2"/>
      <c r="H210" s="2"/>
      <c r="J210" s="2"/>
      <c r="L210" s="2"/>
      <c r="N210" s="2"/>
      <c r="P210" s="3"/>
      <c r="Q210" s="3"/>
      <c r="R210" s="3"/>
      <c r="S210" s="3"/>
    </row>
    <row r="211" spans="6:19" x14ac:dyDescent="0.2">
      <c r="F211" s="2"/>
      <c r="H211" s="2"/>
      <c r="J211" s="2"/>
      <c r="L211" s="2"/>
      <c r="N211" s="2"/>
      <c r="P211" s="3"/>
      <c r="Q211" s="3"/>
      <c r="R211" s="3"/>
      <c r="S211" s="3"/>
    </row>
    <row r="212" spans="6:19" x14ac:dyDescent="0.2">
      <c r="F212" s="2"/>
      <c r="H212" s="2"/>
      <c r="J212" s="2"/>
      <c r="L212" s="2"/>
      <c r="N212" s="2"/>
      <c r="P212" s="3"/>
      <c r="Q212" s="3"/>
      <c r="R212" s="3"/>
      <c r="S212" s="3"/>
    </row>
    <row r="213" spans="6:19" x14ac:dyDescent="0.2">
      <c r="F213" s="2"/>
      <c r="H213" s="2"/>
      <c r="J213" s="2"/>
      <c r="L213" s="2"/>
      <c r="N213" s="2"/>
      <c r="P213" s="1"/>
      <c r="Q213" s="1"/>
      <c r="R213" s="3"/>
      <c r="S213" s="3"/>
    </row>
    <row r="214" spans="6:19" x14ac:dyDescent="0.2">
      <c r="F214" s="2"/>
      <c r="H214" s="2"/>
      <c r="J214" s="2"/>
      <c r="L214" s="2"/>
      <c r="N214" s="2"/>
      <c r="P214" s="3"/>
      <c r="Q214" s="3"/>
      <c r="R214" s="3"/>
      <c r="S214" s="3"/>
    </row>
    <row r="215" spans="6:19" x14ac:dyDescent="0.2">
      <c r="F215" s="2"/>
      <c r="H215" s="2"/>
      <c r="J215" s="2"/>
      <c r="L215" s="2"/>
      <c r="N215" s="2"/>
      <c r="P215" s="3"/>
      <c r="Q215" s="3"/>
      <c r="R215" s="3"/>
      <c r="S215" s="3"/>
    </row>
    <row r="216" spans="6:19" x14ac:dyDescent="0.2">
      <c r="F216" s="2"/>
      <c r="H216" s="2"/>
      <c r="J216" s="2"/>
      <c r="L216" s="2"/>
      <c r="N216" s="2"/>
      <c r="P216" s="3"/>
      <c r="Q216" s="3"/>
      <c r="R216" s="3"/>
      <c r="S216" s="3"/>
    </row>
    <row r="217" spans="6:19" x14ac:dyDescent="0.2">
      <c r="F217" s="2"/>
      <c r="H217" s="2"/>
      <c r="J217" s="2"/>
      <c r="L217" s="2"/>
      <c r="N217" s="2"/>
      <c r="P217" s="3"/>
      <c r="Q217" s="3"/>
      <c r="R217" s="3"/>
      <c r="S21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fc57875</dc:creator>
  <cp:lastModifiedBy>fc57875</cp:lastModifiedBy>
  <dcterms:created xsi:type="dcterms:W3CDTF">2024-12-15T00:21:02Z</dcterms:created>
  <dcterms:modified xsi:type="dcterms:W3CDTF">2025-08-17T18:13:30Z</dcterms:modified>
</cp:coreProperties>
</file>